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studies-20\"/>
    </mc:Choice>
  </mc:AlternateContent>
  <xr:revisionPtr revIDLastSave="0" documentId="11_FDBB7D5A3C5D4E890035F20C83D97D4F478C3C68" xr6:coauthVersionLast="47" xr6:coauthVersionMax="47" xr10:uidLastSave="{00000000-0000-0000-0000-000000000000}"/>
  <bookViews>
    <workbookView xWindow="-108" yWindow="-108" windowWidth="23256" windowHeight="13896" tabRatio="500" activeTab="1" xr2:uid="{00000000-000D-0000-FFFF-FFFF00000000}"/>
  </bookViews>
  <sheets>
    <sheet name="Dashboard" sheetId="1" r:id="rId1"/>
    <sheet name="Daily Log" sheetId="2" r:id="rId2"/>
    <sheet name="DSA Problems" sheetId="3" r:id="rId3"/>
    <sheet name="Weekly Plan" sheetId="4" r:id="rId4"/>
    <sheet name="Milestones" sheetId="5" r:id="rId5"/>
  </sheets>
  <definedNames>
    <definedName name="_xlnm._FilterDatabase" localSheetId="2" hidden="1">'DSA Problems'!$A$1:$K$251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93" i="2" l="1"/>
  <c r="M93" i="2"/>
  <c r="D93" i="2"/>
  <c r="N92" i="2"/>
  <c r="M92" i="2"/>
  <c r="D92" i="2"/>
  <c r="N91" i="2"/>
  <c r="M91" i="2"/>
  <c r="D91" i="2"/>
  <c r="N90" i="2"/>
  <c r="M90" i="2"/>
  <c r="D90" i="2"/>
  <c r="N89" i="2"/>
  <c r="M89" i="2"/>
  <c r="D89" i="2"/>
  <c r="N88" i="2"/>
  <c r="M88" i="2"/>
  <c r="D88" i="2"/>
  <c r="N87" i="2"/>
  <c r="M87" i="2"/>
  <c r="D87" i="2"/>
  <c r="N86" i="2"/>
  <c r="M86" i="2"/>
  <c r="D86" i="2"/>
  <c r="N85" i="2"/>
  <c r="M85" i="2"/>
  <c r="D85" i="2"/>
  <c r="N84" i="2"/>
  <c r="M84" i="2"/>
  <c r="D84" i="2"/>
  <c r="N83" i="2"/>
  <c r="M83" i="2"/>
  <c r="D83" i="2"/>
  <c r="N82" i="2"/>
  <c r="M82" i="2"/>
  <c r="D82" i="2"/>
  <c r="N81" i="2"/>
  <c r="M81" i="2"/>
  <c r="D81" i="2"/>
  <c r="N80" i="2"/>
  <c r="M80" i="2"/>
  <c r="D80" i="2"/>
  <c r="N79" i="2"/>
  <c r="M79" i="2"/>
  <c r="D79" i="2"/>
  <c r="N78" i="2"/>
  <c r="M78" i="2"/>
  <c r="D78" i="2"/>
  <c r="N77" i="2"/>
  <c r="M77" i="2"/>
  <c r="D77" i="2"/>
  <c r="N76" i="2"/>
  <c r="M76" i="2"/>
  <c r="D76" i="2"/>
  <c r="N75" i="2"/>
  <c r="M75" i="2"/>
  <c r="D75" i="2"/>
  <c r="N74" i="2"/>
  <c r="M74" i="2"/>
  <c r="D74" i="2"/>
  <c r="N73" i="2"/>
  <c r="M73" i="2"/>
  <c r="D73" i="2"/>
  <c r="N72" i="2"/>
  <c r="M72" i="2"/>
  <c r="D72" i="2"/>
  <c r="N71" i="2"/>
  <c r="M71" i="2"/>
  <c r="D71" i="2"/>
  <c r="N70" i="2"/>
  <c r="M70" i="2"/>
  <c r="D70" i="2"/>
  <c r="N69" i="2"/>
  <c r="M69" i="2"/>
  <c r="D69" i="2"/>
  <c r="N68" i="2"/>
  <c r="M68" i="2"/>
  <c r="D68" i="2"/>
  <c r="N67" i="2"/>
  <c r="M67" i="2"/>
  <c r="D67" i="2"/>
  <c r="N66" i="2"/>
  <c r="M66" i="2"/>
  <c r="D66" i="2"/>
  <c r="N65" i="2"/>
  <c r="M65" i="2"/>
  <c r="D65" i="2"/>
  <c r="N64" i="2"/>
  <c r="M64" i="2"/>
  <c r="D64" i="2"/>
  <c r="N63" i="2"/>
  <c r="M63" i="2"/>
  <c r="D63" i="2"/>
  <c r="N62" i="2"/>
  <c r="M62" i="2"/>
  <c r="D62" i="2"/>
  <c r="N61" i="2"/>
  <c r="M61" i="2"/>
  <c r="D61" i="2"/>
  <c r="N60" i="2"/>
  <c r="M60" i="2"/>
  <c r="D60" i="2"/>
  <c r="N59" i="2"/>
  <c r="M59" i="2"/>
  <c r="D59" i="2"/>
  <c r="N58" i="2"/>
  <c r="M58" i="2"/>
  <c r="D58" i="2"/>
  <c r="N57" i="2"/>
  <c r="M57" i="2"/>
  <c r="D57" i="2"/>
  <c r="N56" i="2"/>
  <c r="M56" i="2"/>
  <c r="D56" i="2"/>
  <c r="N55" i="2"/>
  <c r="M55" i="2"/>
  <c r="D55" i="2"/>
  <c r="N54" i="2"/>
  <c r="M54" i="2"/>
  <c r="D54" i="2"/>
  <c r="N53" i="2"/>
  <c r="M53" i="2"/>
  <c r="D53" i="2"/>
  <c r="N52" i="2"/>
  <c r="M52" i="2"/>
  <c r="D52" i="2"/>
  <c r="N51" i="2"/>
  <c r="M51" i="2"/>
  <c r="E51" i="2"/>
  <c r="F51" i="2" s="1"/>
  <c r="D51" i="2"/>
  <c r="N50" i="2"/>
  <c r="M50" i="2"/>
  <c r="D50" i="2"/>
  <c r="N49" i="2"/>
  <c r="M49" i="2"/>
  <c r="D49" i="2"/>
  <c r="N48" i="2"/>
  <c r="M48" i="2"/>
  <c r="D48" i="2"/>
  <c r="N47" i="2"/>
  <c r="M47" i="2"/>
  <c r="D47" i="2"/>
  <c r="N46" i="2"/>
  <c r="M46" i="2"/>
  <c r="D46" i="2"/>
  <c r="N45" i="2"/>
  <c r="M45" i="2"/>
  <c r="D45" i="2"/>
  <c r="N44" i="2"/>
  <c r="M44" i="2"/>
  <c r="D44" i="2"/>
  <c r="N43" i="2"/>
  <c r="M43" i="2"/>
  <c r="D43" i="2"/>
  <c r="N42" i="2"/>
  <c r="M42" i="2"/>
  <c r="D42" i="2"/>
  <c r="N41" i="2"/>
  <c r="M41" i="2"/>
  <c r="D41" i="2"/>
  <c r="N40" i="2"/>
  <c r="M40" i="2"/>
  <c r="D40" i="2"/>
  <c r="N39" i="2"/>
  <c r="M39" i="2"/>
  <c r="D39" i="2"/>
  <c r="N38" i="2"/>
  <c r="M38" i="2"/>
  <c r="D38" i="2"/>
  <c r="N37" i="2"/>
  <c r="M37" i="2"/>
  <c r="D37" i="2"/>
  <c r="N36" i="2"/>
  <c r="M36" i="2"/>
  <c r="D36" i="2"/>
  <c r="N35" i="2"/>
  <c r="M35" i="2"/>
  <c r="D35" i="2"/>
  <c r="N34" i="2"/>
  <c r="M34" i="2"/>
  <c r="D34" i="2"/>
  <c r="N33" i="2"/>
  <c r="M33" i="2"/>
  <c r="D33" i="2"/>
  <c r="N32" i="2"/>
  <c r="M32" i="2"/>
  <c r="D32" i="2"/>
  <c r="N31" i="2"/>
  <c r="M31" i="2"/>
  <c r="D31" i="2"/>
  <c r="N30" i="2"/>
  <c r="M30" i="2"/>
  <c r="D30" i="2"/>
  <c r="N29" i="2"/>
  <c r="M29" i="2"/>
  <c r="D29" i="2"/>
  <c r="N28" i="2"/>
  <c r="M28" i="2"/>
  <c r="D28" i="2"/>
  <c r="N27" i="2"/>
  <c r="M27" i="2"/>
  <c r="D27" i="2"/>
  <c r="N26" i="2"/>
  <c r="M26" i="2"/>
  <c r="D26" i="2"/>
  <c r="N25" i="2"/>
  <c r="M25" i="2"/>
  <c r="D25" i="2"/>
  <c r="N24" i="2"/>
  <c r="M24" i="2"/>
  <c r="D24" i="2"/>
  <c r="N23" i="2"/>
  <c r="M23" i="2"/>
  <c r="D23" i="2"/>
  <c r="N22" i="2"/>
  <c r="M22" i="2"/>
  <c r="D22" i="2"/>
  <c r="N21" i="2"/>
  <c r="M21" i="2"/>
  <c r="D21" i="2"/>
  <c r="N20" i="2"/>
  <c r="M20" i="2"/>
  <c r="D20" i="2"/>
  <c r="N19" i="2"/>
  <c r="M19" i="2"/>
  <c r="B16" i="1" s="1"/>
  <c r="D16" i="1" s="1"/>
  <c r="D19" i="2"/>
  <c r="N18" i="2"/>
  <c r="M18" i="2"/>
  <c r="D18" i="2"/>
  <c r="N17" i="2"/>
  <c r="M17" i="2"/>
  <c r="D17" i="2"/>
  <c r="N16" i="2"/>
  <c r="M16" i="2"/>
  <c r="D16" i="2"/>
  <c r="N15" i="2"/>
  <c r="M15" i="2"/>
  <c r="D15" i="2"/>
  <c r="N14" i="2"/>
  <c r="M14" i="2"/>
  <c r="D14" i="2"/>
  <c r="N13" i="2"/>
  <c r="M13" i="2"/>
  <c r="D13" i="2"/>
  <c r="N12" i="2"/>
  <c r="M12" i="2"/>
  <c r="D12" i="2"/>
  <c r="N11" i="2"/>
  <c r="C16" i="1" s="1"/>
  <c r="M11" i="2"/>
  <c r="D11" i="2"/>
  <c r="N10" i="2"/>
  <c r="M10" i="2"/>
  <c r="D10" i="2"/>
  <c r="N9" i="2"/>
  <c r="M9" i="2"/>
  <c r="D9" i="2"/>
  <c r="N8" i="2"/>
  <c r="M8" i="2"/>
  <c r="D8" i="2"/>
  <c r="N7" i="2"/>
  <c r="M7" i="2"/>
  <c r="D7" i="2"/>
  <c r="N6" i="2"/>
  <c r="M6" i="2"/>
  <c r="D6" i="2"/>
  <c r="N5" i="2"/>
  <c r="M5" i="2"/>
  <c r="D5" i="2"/>
  <c r="N4" i="2"/>
  <c r="M4" i="2"/>
  <c r="E4" i="2"/>
  <c r="F4" i="2" s="1"/>
  <c r="D4" i="2"/>
  <c r="N3" i="2"/>
  <c r="M3" i="2"/>
  <c r="D3" i="2"/>
  <c r="N2" i="2"/>
  <c r="M2" i="2"/>
  <c r="D2" i="2"/>
  <c r="B23" i="1"/>
  <c r="K22" i="1"/>
  <c r="J22" i="1"/>
  <c r="I22" i="1"/>
  <c r="H22" i="1"/>
  <c r="K21" i="1"/>
  <c r="J21" i="1"/>
  <c r="I21" i="1"/>
  <c r="H21" i="1"/>
  <c r="K20" i="1"/>
  <c r="J20" i="1"/>
  <c r="I20" i="1"/>
  <c r="H20" i="1"/>
  <c r="K19" i="1"/>
  <c r="J19" i="1"/>
  <c r="I19" i="1"/>
  <c r="H19" i="1"/>
  <c r="B19" i="1"/>
  <c r="K18" i="1"/>
  <c r="J18" i="1"/>
  <c r="I18" i="1"/>
  <c r="H18" i="1"/>
  <c r="K17" i="1"/>
  <c r="J17" i="1"/>
  <c r="I17" i="1"/>
  <c r="H17" i="1"/>
  <c r="K16" i="1"/>
  <c r="J16" i="1"/>
  <c r="I16" i="1"/>
  <c r="H16" i="1"/>
  <c r="K15" i="1"/>
  <c r="J15" i="1"/>
  <c r="I15" i="1"/>
  <c r="H15" i="1"/>
  <c r="C15" i="1"/>
  <c r="B15" i="1"/>
  <c r="D15" i="1" s="1"/>
  <c r="K14" i="1"/>
  <c r="J14" i="1"/>
  <c r="I14" i="1"/>
  <c r="H14" i="1"/>
  <c r="B14" i="1"/>
  <c r="D14" i="1" s="1"/>
  <c r="K13" i="1"/>
  <c r="J13" i="1"/>
  <c r="I13" i="1"/>
  <c r="H13" i="1"/>
  <c r="C13" i="1"/>
  <c r="B13" i="1"/>
  <c r="D13" i="1" s="1"/>
  <c r="K12" i="1"/>
  <c r="J12" i="1"/>
  <c r="I12" i="1"/>
  <c r="H12" i="1"/>
  <c r="C12" i="1"/>
  <c r="B12" i="1"/>
  <c r="D12" i="1" s="1"/>
  <c r="K11" i="1"/>
  <c r="J11" i="1"/>
  <c r="I11" i="1"/>
  <c r="H11" i="1"/>
  <c r="C11" i="1"/>
  <c r="B11" i="1"/>
  <c r="D11" i="1" s="1"/>
  <c r="K10" i="1"/>
  <c r="J10" i="1"/>
  <c r="I10" i="1"/>
  <c r="H10" i="1"/>
  <c r="C10" i="1"/>
  <c r="B10" i="1"/>
  <c r="D10" i="1" s="1"/>
  <c r="K9" i="1"/>
  <c r="J9" i="1"/>
  <c r="I9" i="1"/>
  <c r="H9" i="1"/>
  <c r="B9" i="1"/>
  <c r="D9" i="1" s="1"/>
  <c r="K8" i="1"/>
  <c r="J8" i="1"/>
  <c r="I8" i="1"/>
  <c r="H8" i="1"/>
  <c r="B8" i="1"/>
  <c r="K7" i="1"/>
  <c r="J7" i="1"/>
  <c r="I7" i="1"/>
  <c r="H7" i="1"/>
  <c r="B7" i="1"/>
  <c r="K6" i="1"/>
  <c r="J6" i="1"/>
  <c r="I6" i="1"/>
  <c r="H6" i="1"/>
  <c r="B6" i="1"/>
  <c r="D6" i="1" s="1"/>
  <c r="K5" i="1"/>
  <c r="J5" i="1"/>
  <c r="I5" i="1"/>
  <c r="H5" i="1"/>
  <c r="B5" i="1"/>
  <c r="E93" i="2" l="1"/>
  <c r="F93" i="2"/>
  <c r="E92" i="2"/>
  <c r="F92" i="2"/>
  <c r="E91" i="2"/>
  <c r="F91" i="2"/>
  <c r="F90" i="2"/>
  <c r="E90" i="2"/>
  <c r="E89" i="2"/>
  <c r="F89" i="2"/>
  <c r="E88" i="2"/>
  <c r="F88" i="2"/>
  <c r="E87" i="2"/>
  <c r="F87" i="2"/>
  <c r="F86" i="2"/>
  <c r="E86" i="2"/>
  <c r="F85" i="2"/>
  <c r="E85" i="2"/>
  <c r="E84" i="2"/>
  <c r="F84" i="2"/>
  <c r="E83" i="2"/>
  <c r="F83" i="2"/>
  <c r="F82" i="2"/>
  <c r="E82" i="2"/>
  <c r="F81" i="2"/>
  <c r="E81" i="2"/>
  <c r="E80" i="2"/>
  <c r="F80" i="2"/>
  <c r="E79" i="2"/>
  <c r="F79" i="2"/>
  <c r="E78" i="2"/>
  <c r="F78" i="2"/>
  <c r="E77" i="2"/>
  <c r="F77" i="2"/>
  <c r="F76" i="2"/>
  <c r="E76" i="2"/>
  <c r="F75" i="2"/>
  <c r="E75" i="2"/>
  <c r="E74" i="2"/>
  <c r="F74" i="2"/>
  <c r="F73" i="2"/>
  <c r="E73" i="2"/>
  <c r="F72" i="2"/>
  <c r="E72" i="2"/>
  <c r="F71" i="2"/>
  <c r="E71" i="2"/>
  <c r="E70" i="2"/>
  <c r="F70" i="2"/>
  <c r="E69" i="2"/>
  <c r="F69" i="2"/>
  <c r="F68" i="2"/>
  <c r="E68" i="2"/>
  <c r="E67" i="2"/>
  <c r="F67" i="2"/>
  <c r="F66" i="2"/>
  <c r="E66" i="2"/>
  <c r="F65" i="2"/>
  <c r="E65" i="2"/>
  <c r="E64" i="2"/>
  <c r="F64" i="2"/>
  <c r="F63" i="2"/>
  <c r="E63" i="2"/>
  <c r="F62" i="2"/>
  <c r="E62" i="2"/>
  <c r="F61" i="2"/>
  <c r="E61" i="2"/>
  <c r="E60" i="2"/>
  <c r="F60" i="2"/>
  <c r="F59" i="2"/>
  <c r="E59" i="2"/>
  <c r="E58" i="2"/>
  <c r="F58" i="2" s="1"/>
  <c r="E57" i="2"/>
  <c r="F57" i="2"/>
  <c r="E56" i="2"/>
  <c r="F56" i="2"/>
  <c r="E55" i="2"/>
  <c r="F55" i="2"/>
  <c r="E54" i="2"/>
  <c r="F54" i="2" s="1"/>
  <c r="E53" i="2"/>
  <c r="F53" i="2"/>
  <c r="E52" i="2"/>
  <c r="F52" i="2"/>
  <c r="E50" i="2"/>
  <c r="F50" i="2" s="1"/>
  <c r="E49" i="2"/>
  <c r="F49" i="2" s="1"/>
  <c r="E48" i="2"/>
  <c r="F48" i="2" s="1"/>
  <c r="E47" i="2"/>
  <c r="F47" i="2"/>
  <c r="E46" i="2"/>
  <c r="F46" i="2"/>
  <c r="F45" i="2"/>
  <c r="E45" i="2"/>
  <c r="E44" i="2"/>
  <c r="F44" i="2"/>
  <c r="E43" i="2"/>
  <c r="F43" i="2" s="1"/>
  <c r="E42" i="2"/>
  <c r="F42" i="2" s="1"/>
  <c r="E41" i="2"/>
  <c r="F41" i="2" s="1"/>
  <c r="E40" i="2"/>
  <c r="F40" i="2" s="1"/>
  <c r="E39" i="2"/>
  <c r="F39" i="2" s="1"/>
  <c r="E38" i="2"/>
  <c r="F38" i="2" s="1"/>
  <c r="E37" i="2"/>
  <c r="F37" i="2" s="1"/>
  <c r="E36" i="2"/>
  <c r="F36" i="2" s="1"/>
  <c r="E35" i="2"/>
  <c r="F35" i="2" s="1"/>
  <c r="B20" i="1"/>
  <c r="B21" i="1"/>
  <c r="B22" i="1"/>
  <c r="E34" i="2"/>
  <c r="F34" i="2" s="1"/>
  <c r="E33" i="2"/>
  <c r="F33" i="2"/>
  <c r="E32" i="2"/>
  <c r="F32" i="2" s="1"/>
  <c r="E31" i="2"/>
  <c r="F31" i="2" s="1"/>
  <c r="E30" i="2"/>
  <c r="F30" i="2" s="1"/>
  <c r="E29" i="2"/>
  <c r="F29" i="2" s="1"/>
  <c r="E28" i="2"/>
  <c r="F28" i="2" s="1"/>
  <c r="E27" i="2"/>
  <c r="F27" i="2" s="1"/>
  <c r="F26" i="2"/>
  <c r="E26" i="2"/>
  <c r="E25" i="2"/>
  <c r="F25" i="2" s="1"/>
  <c r="E24" i="2"/>
  <c r="F24" i="2" s="1"/>
  <c r="F23" i="2"/>
  <c r="E23" i="2"/>
  <c r="E22" i="2"/>
  <c r="F22" i="2"/>
  <c r="E21" i="2"/>
  <c r="F21" i="2"/>
  <c r="E20" i="2"/>
  <c r="F20" i="2"/>
  <c r="E19" i="2"/>
  <c r="F19" i="2"/>
  <c r="E18" i="2"/>
  <c r="F18" i="2"/>
  <c r="E17" i="2"/>
  <c r="F17" i="2"/>
  <c r="E16" i="2"/>
  <c r="F16" i="2"/>
  <c r="E15" i="2"/>
  <c r="F15" i="2" s="1"/>
  <c r="E14" i="2"/>
  <c r="F14" i="2"/>
  <c r="E13" i="2"/>
  <c r="F13" i="2" s="1"/>
  <c r="E12" i="2"/>
  <c r="F12" i="2"/>
  <c r="E11" i="2"/>
  <c r="F11" i="2"/>
  <c r="E10" i="2"/>
  <c r="F10" i="2"/>
  <c r="E9" i="2"/>
  <c r="F9" i="2"/>
  <c r="E8" i="2"/>
  <c r="F8" i="2"/>
  <c r="E7" i="2"/>
  <c r="F7" i="2"/>
  <c r="E6" i="2"/>
  <c r="F6" i="2" s="1"/>
  <c r="E5" i="2"/>
  <c r="F5" i="2" s="1"/>
  <c r="E3" i="2"/>
  <c r="B18" i="4"/>
  <c r="B19" i="4"/>
  <c r="B20" i="4"/>
  <c r="B21" i="4"/>
  <c r="B22" i="4"/>
  <c r="B23" i="4"/>
  <c r="B24" i="4"/>
  <c r="B25" i="4"/>
  <c r="B26" i="4"/>
  <c r="B27" i="4"/>
  <c r="B28" i="4"/>
  <c r="B30" i="4"/>
  <c r="B31" i="4"/>
  <c r="B32" i="4"/>
  <c r="B33" i="4"/>
  <c r="B34" i="4"/>
  <c r="B29" i="4"/>
  <c r="A9" i="5"/>
  <c r="A8" i="5"/>
  <c r="A6" i="5"/>
  <c r="A5" i="5"/>
  <c r="A4" i="5"/>
  <c r="A3" i="5"/>
  <c r="B53" i="4"/>
  <c r="B52" i="4"/>
  <c r="B51" i="4"/>
  <c r="B50" i="4"/>
  <c r="B49" i="4"/>
  <c r="B54" i="4"/>
  <c r="B48" i="4"/>
  <c r="B47" i="4"/>
  <c r="B46" i="4"/>
  <c r="B45" i="4"/>
  <c r="B44" i="4"/>
  <c r="B43" i="4"/>
  <c r="B42" i="4"/>
  <c r="B41" i="4"/>
  <c r="A10" i="5"/>
  <c r="B39" i="4"/>
  <c r="B38" i="4"/>
  <c r="B2" i="4"/>
  <c r="B37" i="4"/>
  <c r="B12" i="4"/>
  <c r="B13" i="4"/>
  <c r="B14" i="4"/>
  <c r="B15" i="4"/>
  <c r="B3" i="4"/>
  <c r="B4" i="4"/>
  <c r="B16" i="4"/>
  <c r="B17" i="4"/>
  <c r="F2" i="2"/>
  <c r="E2" i="2"/>
  <c r="B40" i="4"/>
  <c r="B5" i="4"/>
  <c r="B6" i="4"/>
  <c r="B7" i="4"/>
  <c r="B8" i="4"/>
  <c r="B9" i="4"/>
  <c r="B36" i="4"/>
  <c r="B35" i="4"/>
  <c r="B10" i="4"/>
  <c r="B11" i="4"/>
  <c r="D5" i="1"/>
  <c r="B25" i="1"/>
  <c r="B24" i="1" l="1"/>
  <c r="F3" i="2"/>
</calcChain>
</file>

<file path=xl/sharedStrings.xml><?xml version="1.0" encoding="utf-8"?>
<sst xmlns="http://schemas.openxmlformats.org/spreadsheetml/2006/main" count="2212" uniqueCount="445">
  <si>
    <t>Interview prep tracker</t>
  </si>
  <si>
    <t>Starts 11 Oct 2026. Amazon and Microsoft, SDE-2. Fill in the yellow cells on the other tabs; this page updates itself.</t>
  </si>
  <si>
    <t>Metric</t>
  </si>
  <si>
    <t>Done</t>
  </si>
  <si>
    <t>Target</t>
  </si>
  <si>
    <t>Progress</t>
  </si>
  <si>
    <t>Topic</t>
  </si>
  <si>
    <t>When</t>
  </si>
  <si>
    <t>150 solved</t>
  </si>
  <si>
    <t>150 total</t>
  </si>
  <si>
    <t>250 solved</t>
  </si>
  <si>
    <t>250 total</t>
  </si>
  <si>
    <t>NeetCode 150 solved (core goal)</t>
  </si>
  <si>
    <t>Arrays &amp; Hashing</t>
  </si>
  <si>
    <t>Week 1 (quick pass)</t>
  </si>
  <si>
    <t>NeetCode 250 solved (stretch)</t>
  </si>
  <si>
    <t>Two Pointers</t>
  </si>
  <si>
    <t>Week 1</t>
  </si>
  <si>
    <t xml:space="preserve">  Marked to revisit</t>
  </si>
  <si>
    <t>Sliding Window</t>
  </si>
  <si>
    <t xml:space="preserve">  Problems logged in Daily Log</t>
  </si>
  <si>
    <t>Stack</t>
  </si>
  <si>
    <t>Gen AI course hours</t>
  </si>
  <si>
    <t>Binary Search</t>
  </si>
  <si>
    <t>Week 2</t>
  </si>
  <si>
    <t>Plan topics completed</t>
  </si>
  <si>
    <t>Linked List</t>
  </si>
  <si>
    <t xml:space="preserve">  DSA topics</t>
  </si>
  <si>
    <t>Trees</t>
  </si>
  <si>
    <t>Week 3</t>
  </si>
  <si>
    <t xml:space="preserve">  HLD topics</t>
  </si>
  <si>
    <t>Heap / Priority Queue</t>
  </si>
  <si>
    <t>Week 4</t>
  </si>
  <si>
    <t xml:space="preserve">  LLD topics</t>
  </si>
  <si>
    <t>Tries</t>
  </si>
  <si>
    <t>Behavioral stories written</t>
  </si>
  <si>
    <t>Backtracking</t>
  </si>
  <si>
    <t>Milestones and checkpoints</t>
  </si>
  <si>
    <t>Graphs</t>
  </si>
  <si>
    <t>Week 5</t>
  </si>
  <si>
    <t>Study slots completed</t>
  </si>
  <si>
    <t>Advanced Graphs</t>
  </si>
  <si>
    <t>1-D Dynamic Programming</t>
  </si>
  <si>
    <t>Week 6</t>
  </si>
  <si>
    <t>Schedule (auto-adjusts for days off)</t>
  </si>
  <si>
    <t>Value</t>
  </si>
  <si>
    <t>2-D Dynamic Programming</t>
  </si>
  <si>
    <t>Week 7</t>
  </si>
  <si>
    <t>Days to Databricks DE exam (23 Oct)</t>
  </si>
  <si>
    <t>Greedy</t>
  </si>
  <si>
    <t>Interview-ready date</t>
  </si>
  <si>
    <t>Intervals</t>
  </si>
  <si>
    <t>Days to interview-ready</t>
  </si>
  <si>
    <t>Math &amp; Geometry</t>
  </si>
  <si>
    <t>Week 8 or stretch</t>
  </si>
  <si>
    <t>Plan finishes (end of week 8)</t>
  </si>
  <si>
    <t>Bit Manipulation</t>
  </si>
  <si>
    <t>Days off taken</t>
  </si>
  <si>
    <t>Current week of plan</t>
  </si>
  <si>
    <t>Problems needed per day to hit 150</t>
  </si>
  <si>
    <t>How to use</t>
  </si>
  <si>
    <t>• Yellow cells are yours to fill in. Everything else is calculated.</t>
  </si>
  <si>
    <t>• Daily Log: pick Yes or No from the dropdown for each slot, and type problems solved and Gen AI hours (use 0.5 steps, e.g. 1.5). Today's row is highlighted.</t>
  </si>
  <si>
    <t>• Problems solved turns green at 3 or more (the daily target) and orange at 1–2.</t>
  </si>
  <si>
    <t>• Travelling or unable to study? In Daily Log, set Day off? to Yes for that date (you can mark future dates in advance). Weeks, checkpoints, milestones and your interview-ready date all shift forward automatically. The log runs to 10 Jan for spare days.</t>
  </si>
  <si>
    <t>• Grey cells marked — are not planned for that day (weekend routine).</t>
  </si>
  <si>
    <t>• Weekly Plan: weeks 1–3 are concept learning for HLD and LLD; full designs start in week 4.</t>
  </si>
  <si>
    <t>• Milestones: mark key dates and checkpoints done, and write one line per behavioral story.</t>
  </si>
  <si>
    <t>• DSA Problems: all 250 NeetCode problems, with the NeetCode 150 listed first in each topic. Set Status to Solved or Revisit; filter by List to see only the 150.</t>
  </si>
  <si>
    <t>• Targets: 150 problems is the core goal. The stretch row tracks progress toward 250.</t>
  </si>
  <si>
    <t>Date</t>
  </si>
  <si>
    <t>Day</t>
  </si>
  <si>
    <t>Day off?</t>
  </si>
  <si>
    <t>Study day</t>
  </si>
  <si>
    <t>Week</t>
  </si>
  <si>
    <t>Today's plan</t>
  </si>
  <si>
    <t>DSA morning</t>
  </si>
  <si>
    <t>System design</t>
  </si>
  <si>
    <t>Gen AI</t>
  </si>
  <si>
    <t>DSA night</t>
  </si>
  <si>
    <t>10–11 pm slot</t>
  </si>
  <si>
    <t>Review</t>
  </si>
  <si>
    <t>Slots done</t>
  </si>
  <si>
    <t>Slots planned</t>
  </si>
  <si>
    <t>Problems solved (target 3)</t>
  </si>
  <si>
    <t>Gen AI hours</t>
  </si>
  <si>
    <t>Mistakes log / notes</t>
  </si>
  <si>
    <t>Sun</t>
  </si>
  <si>
    <t>—</t>
  </si>
  <si>
    <t>Mon</t>
  </si>
  <si>
    <t>Tue</t>
  </si>
  <si>
    <t>Wed</t>
  </si>
  <si>
    <t>Thu</t>
  </si>
  <si>
    <t>Fri</t>
  </si>
  <si>
    <t>Sat</t>
  </si>
  <si>
    <t>#</t>
  </si>
  <si>
    <t>Problem (NeetCode)</t>
  </si>
  <si>
    <t>LeetCode</t>
  </si>
  <si>
    <t>Difficulty</t>
  </si>
  <si>
    <t>List</t>
  </si>
  <si>
    <t>Status</t>
  </si>
  <si>
    <t>Date solved</t>
  </si>
  <si>
    <t>Revised</t>
  </si>
  <si>
    <t>Notes</t>
  </si>
  <si>
    <t>Contains Duplicate</t>
  </si>
  <si>
    <t>Open</t>
  </si>
  <si>
    <t>Easy</t>
  </si>
  <si>
    <t>NeetCode 150</t>
  </si>
  <si>
    <t>Not started</t>
  </si>
  <si>
    <t>Valid Anagram</t>
  </si>
  <si>
    <t>Two Sum</t>
  </si>
  <si>
    <t>Group Anagrams</t>
  </si>
  <si>
    <t>Medium</t>
  </si>
  <si>
    <t>Top K Frequent Elements</t>
  </si>
  <si>
    <t>Encode and Decode Strings</t>
  </si>
  <si>
    <t>Product of Array Except Self</t>
  </si>
  <si>
    <t>Valid Sudoku</t>
  </si>
  <si>
    <t>Longest Consecutive Sequence</t>
  </si>
  <si>
    <t>Concatenation of Array</t>
  </si>
  <si>
    <t>Stretch (250)</t>
  </si>
  <si>
    <t>Longest Common Prefix</t>
  </si>
  <si>
    <t>Remove Element</t>
  </si>
  <si>
    <t>Majority Element</t>
  </si>
  <si>
    <t>Design HashSet</t>
  </si>
  <si>
    <t>Design HashMap</t>
  </si>
  <si>
    <t>Sort an Array</t>
  </si>
  <si>
    <t>Sort Colors</t>
  </si>
  <si>
    <t>Range Sum Query 2D Immutable</t>
  </si>
  <si>
    <t>Best Time to Buy And Sell Stock II</t>
  </si>
  <si>
    <t>Majority Element II</t>
  </si>
  <si>
    <t>Subarray Sum Equals K</t>
  </si>
  <si>
    <t>First Missing Positive</t>
  </si>
  <si>
    <t>Hard</t>
  </si>
  <si>
    <t>Valid Palindrome</t>
  </si>
  <si>
    <t>Two Sum II Input Array Is Sorted</t>
  </si>
  <si>
    <t>3Sum</t>
  </si>
  <si>
    <t>Container With Most Water</t>
  </si>
  <si>
    <t>Trapping Rain Water</t>
  </si>
  <si>
    <t>Reverse String</t>
  </si>
  <si>
    <t>Valid Palindrome II</t>
  </si>
  <si>
    <t>Merge Strings Alternately</t>
  </si>
  <si>
    <t>Merge Sorted Array</t>
  </si>
  <si>
    <t>Remove Duplicates From Sorted Array</t>
  </si>
  <si>
    <t>4Sum</t>
  </si>
  <si>
    <t>Rotate Array</t>
  </si>
  <si>
    <t>Boats to Save People</t>
  </si>
  <si>
    <t>Best Time to Buy And Sell Stock</t>
  </si>
  <si>
    <t>Longest Substring Without Repeating Characters</t>
  </si>
  <si>
    <t>Longest Repeating Character Replacement</t>
  </si>
  <si>
    <t>Permutation In String</t>
  </si>
  <si>
    <t>Minimum Window Substring</t>
  </si>
  <si>
    <t>Sliding Window Maximum</t>
  </si>
  <si>
    <t>Contains Duplicate II</t>
  </si>
  <si>
    <t>Minimum Size Subarray Sum</t>
  </si>
  <si>
    <t>Find K Closest Elements</t>
  </si>
  <si>
    <t>Valid Parentheses</t>
  </si>
  <si>
    <t>Min Stack</t>
  </si>
  <si>
    <t>Evaluate Reverse Polish Notation</t>
  </si>
  <si>
    <t>Generate Parentheses</t>
  </si>
  <si>
    <t>Daily Temperatures</t>
  </si>
  <si>
    <t>Car Fleet</t>
  </si>
  <si>
    <t>Largest Rectangle In Histogram</t>
  </si>
  <si>
    <t>Baseball Game</t>
  </si>
  <si>
    <t>Implement Stack Using Queues</t>
  </si>
  <si>
    <t>Implement Queue using Stacks</t>
  </si>
  <si>
    <t>Asteroid Collision</t>
  </si>
  <si>
    <t>Online Stock Span</t>
  </si>
  <si>
    <t>Simplify Path</t>
  </si>
  <si>
    <t>Decode String</t>
  </si>
  <si>
    <t>Maximum Frequency Stack</t>
  </si>
  <si>
    <t>Search a 2D Matrix</t>
  </si>
  <si>
    <t>Koko Eating Bananas</t>
  </si>
  <si>
    <t>Find Minimum In Rotated Sorted Array</t>
  </si>
  <si>
    <t>Search In Rotated Sorted Array</t>
  </si>
  <si>
    <t>Time Based Key Value Store</t>
  </si>
  <si>
    <t>Median of Two Sorted Arrays</t>
  </si>
  <si>
    <t>Search Insert Position</t>
  </si>
  <si>
    <t>Guess Number Higher Or Lower</t>
  </si>
  <si>
    <t>Sqrt(x)</t>
  </si>
  <si>
    <t>Capacity to Ship Packages Within D Days</t>
  </si>
  <si>
    <t>Search In Rotated Sorted Array II</t>
  </si>
  <si>
    <t>Split Array Largest Sum</t>
  </si>
  <si>
    <t>Find in Mountain Array</t>
  </si>
  <si>
    <t>Reverse Linked List</t>
  </si>
  <si>
    <t>Merge Two Sorted Lists</t>
  </si>
  <si>
    <t>Linked List Cycle</t>
  </si>
  <si>
    <t>Reorder List</t>
  </si>
  <si>
    <t>Remove Nth Node From End of List</t>
  </si>
  <si>
    <t>Copy List With Random Pointer</t>
  </si>
  <si>
    <t>Add Two Numbers</t>
  </si>
  <si>
    <t>Find The Duplicate Number</t>
  </si>
  <si>
    <t>LRU Cache</t>
  </si>
  <si>
    <t>Merge K Sorted Lists</t>
  </si>
  <si>
    <t>Reverse Nodes In K Group</t>
  </si>
  <si>
    <t>Reverse Linked List II</t>
  </si>
  <si>
    <t>Design Circular Queue</t>
  </si>
  <si>
    <t>LFU Cache</t>
  </si>
  <si>
    <t>Invert Binary Tree</t>
  </si>
  <si>
    <t>Maximum Depth of Binary Tree</t>
  </si>
  <si>
    <t>Diameter of Binary Tree</t>
  </si>
  <si>
    <t>Balanced Binary Tree</t>
  </si>
  <si>
    <t>Same Tree</t>
  </si>
  <si>
    <t>Subtree of Another Tree</t>
  </si>
  <si>
    <t>Lowest Common Ancestor of a Binary Search Tree</t>
  </si>
  <si>
    <t>Binary Tree Level Order Traversal</t>
  </si>
  <si>
    <t>Binary Tree Right Side View</t>
  </si>
  <si>
    <t>Count Good Nodes In Binary Tree</t>
  </si>
  <si>
    <t>Validate Binary Search Tree</t>
  </si>
  <si>
    <t>Kth Smallest Element In a Bst</t>
  </si>
  <si>
    <t>Construct Binary Tree From Preorder And Inorder Traversal</t>
  </si>
  <si>
    <t>Binary Tree Maximum Path Sum</t>
  </si>
  <si>
    <t>Serialize And Deserialize Binary Tree</t>
  </si>
  <si>
    <t>Binary Tree Inorder Traversal</t>
  </si>
  <si>
    <t>Binary Tree Preorder Traversal</t>
  </si>
  <si>
    <t>Binary Tree Postorder Traversal</t>
  </si>
  <si>
    <t>Insert into a Binary Search Tree</t>
  </si>
  <si>
    <t>Delete Node in a BST</t>
  </si>
  <si>
    <t>Construct Quad Tree</t>
  </si>
  <si>
    <t>House Robber III</t>
  </si>
  <si>
    <t>Delete Leaves With a Given Value</t>
  </si>
  <si>
    <t>Kth Largest Element In a Stream</t>
  </si>
  <si>
    <t>Last Stone Weight</t>
  </si>
  <si>
    <t>K Closest Points to Origin</t>
  </si>
  <si>
    <t>Kth Largest Element In An Array</t>
  </si>
  <si>
    <t>Task Scheduler</t>
  </si>
  <si>
    <t>Design Twitter</t>
  </si>
  <si>
    <t>Find Median From Data Stream</t>
  </si>
  <si>
    <t>Single Threaded CPU</t>
  </si>
  <si>
    <t>Reorganize String</t>
  </si>
  <si>
    <t>Longest Happy String</t>
  </si>
  <si>
    <t>Car Pooling</t>
  </si>
  <si>
    <t>IPO</t>
  </si>
  <si>
    <t>Implement Trie Prefix Tree</t>
  </si>
  <si>
    <t>Design Add And Search Words Data Structure</t>
  </si>
  <si>
    <t>Word Search II</t>
  </si>
  <si>
    <t>Extra Characters in a String</t>
  </si>
  <si>
    <t>Subsets</t>
  </si>
  <si>
    <t>Combination Sum</t>
  </si>
  <si>
    <t>Combination Sum II</t>
  </si>
  <si>
    <t>Permutations</t>
  </si>
  <si>
    <t>Subsets II</t>
  </si>
  <si>
    <t>Word Search</t>
  </si>
  <si>
    <t>Palindrome Partitioning</t>
  </si>
  <si>
    <t>Letter Combinations of a Phone Number</t>
  </si>
  <si>
    <t>N Queens</t>
  </si>
  <si>
    <t>Sum of All Subsets XOR Total</t>
  </si>
  <si>
    <t>Combinations</t>
  </si>
  <si>
    <t>Permutations II</t>
  </si>
  <si>
    <t>Matchsticks to Square</t>
  </si>
  <si>
    <t>Partition to K Equal Sum Subsets</t>
  </si>
  <si>
    <t>N Queens II</t>
  </si>
  <si>
    <t>Word Break II</t>
  </si>
  <si>
    <t>Number of Islands</t>
  </si>
  <si>
    <t>Max Area of Island</t>
  </si>
  <si>
    <t>Clone Graph</t>
  </si>
  <si>
    <t>Walls And Gates</t>
  </si>
  <si>
    <t>Rotting Oranges</t>
  </si>
  <si>
    <t>Pacific Atlantic Water Flow</t>
  </si>
  <si>
    <t>Surrounded Regions</t>
  </si>
  <si>
    <t>Course Schedule</t>
  </si>
  <si>
    <t>Course Schedule II</t>
  </si>
  <si>
    <t>Graph Valid Tree</t>
  </si>
  <si>
    <t>Number of Connected Components In An Undirected Graph</t>
  </si>
  <si>
    <t>Redundant Connection</t>
  </si>
  <si>
    <t>Word Ladder</t>
  </si>
  <si>
    <t>Island Perimeter</t>
  </si>
  <si>
    <t>Verifying An Alien Dictionary</t>
  </si>
  <si>
    <t>Find the Town Judge</t>
  </si>
  <si>
    <t>Open The Lock</t>
  </si>
  <si>
    <t>Course Schedule IV</t>
  </si>
  <si>
    <t>Accounts Merge</t>
  </si>
  <si>
    <t>Evaluate Division</t>
  </si>
  <si>
    <t>Minimum Height Trees</t>
  </si>
  <si>
    <t>Network Delay Time</t>
  </si>
  <si>
    <t>Reconstruct Itinerary</t>
  </si>
  <si>
    <t>Min Cost to Connect All Points</t>
  </si>
  <si>
    <t>Swim In Rising Water</t>
  </si>
  <si>
    <t>Alien Dictionary</t>
  </si>
  <si>
    <t>Cheapest Flights Within K Stops</t>
  </si>
  <si>
    <t>Path with Minimum Effort</t>
  </si>
  <si>
    <t>Find Critical and Pseudo Critical Edges in Minimum Spanning Tree</t>
  </si>
  <si>
    <t>Build a Matrix With Conditions</t>
  </si>
  <si>
    <t>Greatest Common Divisor Traversal</t>
  </si>
  <si>
    <t>Climbing Stairs</t>
  </si>
  <si>
    <t>Min Cost Climbing Stairs</t>
  </si>
  <si>
    <t>House Robber</t>
  </si>
  <si>
    <t>House Robber II</t>
  </si>
  <si>
    <t>Longest Palindromic Substring</t>
  </si>
  <si>
    <t>Palindromic Substrings</t>
  </si>
  <si>
    <t>Decode Ways</t>
  </si>
  <si>
    <t>Coin Change</t>
  </si>
  <si>
    <t>Maximum Product Subarray</t>
  </si>
  <si>
    <t>Word Break</t>
  </si>
  <si>
    <t>Longest Increasing Subsequence</t>
  </si>
  <si>
    <t>Partition Equal Subset Sum</t>
  </si>
  <si>
    <t>N-th Tribonacci Number</t>
  </si>
  <si>
    <t>Combination Sum IV</t>
  </si>
  <si>
    <t>Perfect Squares</t>
  </si>
  <si>
    <t>Integer Break</t>
  </si>
  <si>
    <t>Stone Game III</t>
  </si>
  <si>
    <t>Unique Paths</t>
  </si>
  <si>
    <t>Longest Common Subsequence</t>
  </si>
  <si>
    <t>Best Time to Buy And Sell Stock With Cooldown</t>
  </si>
  <si>
    <t>Coin Change II</t>
  </si>
  <si>
    <t>Target Sum</t>
  </si>
  <si>
    <t>Interleaving String</t>
  </si>
  <si>
    <t>Longest Increasing Path In a Matrix</t>
  </si>
  <si>
    <t>Distinct Subsequences</t>
  </si>
  <si>
    <t>Edit Distance</t>
  </si>
  <si>
    <t>Burst Balloons</t>
  </si>
  <si>
    <t>Regular Expression Matching</t>
  </si>
  <si>
    <t>Unique Paths II</t>
  </si>
  <si>
    <t>Minimum Path Sum</t>
  </si>
  <si>
    <t>Last Stone Weight II</t>
  </si>
  <si>
    <t>Stone Game</t>
  </si>
  <si>
    <t>Stone Game II</t>
  </si>
  <si>
    <t>Maximum Subarray</t>
  </si>
  <si>
    <t>Jump Game</t>
  </si>
  <si>
    <t>Jump Game II</t>
  </si>
  <si>
    <t>Gas Station</t>
  </si>
  <si>
    <t>Hand of Straights</t>
  </si>
  <si>
    <t>Merge Triplets to Form Target Triplet</t>
  </si>
  <si>
    <t>Partition Labels</t>
  </si>
  <si>
    <t>Valid Parenthesis String</t>
  </si>
  <si>
    <t>Lemonade Change</t>
  </si>
  <si>
    <t>Maximum Sum Circular Subarray</t>
  </si>
  <si>
    <t>Longest Turbulent Subarray</t>
  </si>
  <si>
    <t>Jump Game VII</t>
  </si>
  <si>
    <t>Dota2 Senate</t>
  </si>
  <si>
    <t>Candy</t>
  </si>
  <si>
    <t>Insert Interval</t>
  </si>
  <si>
    <t>Merge Intervals</t>
  </si>
  <si>
    <t>Non Overlapping Intervals</t>
  </si>
  <si>
    <t>Meeting Rooms</t>
  </si>
  <si>
    <t>Meeting Rooms II</t>
  </si>
  <si>
    <t>Minimum Interval to Include Each Query</t>
  </si>
  <si>
    <t>Meeting Rooms III</t>
  </si>
  <si>
    <t>Rotate Image</t>
  </si>
  <si>
    <t>Spiral Matrix</t>
  </si>
  <si>
    <t>Set Matrix Zeroes</t>
  </si>
  <si>
    <t>Happy Number</t>
  </si>
  <si>
    <t>Plus One</t>
  </si>
  <si>
    <t>Pow(x, n)</t>
  </si>
  <si>
    <t>Multiply Strings</t>
  </si>
  <si>
    <t>Detect Squares</t>
  </si>
  <si>
    <t>Excel Sheet Column Title</t>
  </si>
  <si>
    <t>Greatest Common Divisor of Strings</t>
  </si>
  <si>
    <t>Insert Greatest Common Divisors in Linked List</t>
  </si>
  <si>
    <t>Transpose Matrix</t>
  </si>
  <si>
    <t>Roman to Integer</t>
  </si>
  <si>
    <t>Single Number</t>
  </si>
  <si>
    <t>Number of 1 Bits</t>
  </si>
  <si>
    <t>Counting Bits</t>
  </si>
  <si>
    <t>Reverse Bits</t>
  </si>
  <si>
    <t>Missing Number</t>
  </si>
  <si>
    <t>Sum of Two Integers</t>
  </si>
  <si>
    <t>Reverse Integer</t>
  </si>
  <si>
    <t>Add Binary</t>
  </si>
  <si>
    <t>Bitwise AND of Numbers Range</t>
  </si>
  <si>
    <t>Minimum Array End</t>
  </si>
  <si>
    <t>Dates (auto)</t>
  </si>
  <si>
    <t>Area</t>
  </si>
  <si>
    <t>Type</t>
  </si>
  <si>
    <t>DSA</t>
  </si>
  <si>
    <t>Arrays &amp; Hashing: quick pass of the 9 core problems</t>
  </si>
  <si>
    <t>Practice</t>
  </si>
  <si>
    <t>Two pointers</t>
  </si>
  <si>
    <t>Sliding window</t>
  </si>
  <si>
    <t>HLD</t>
  </si>
  <si>
    <t>Client-server, vertical vs horizontal scaling</t>
  </si>
  <si>
    <t>Concept</t>
  </si>
  <si>
    <t>Load balancers, DNS, CDN</t>
  </si>
  <si>
    <t>LLD</t>
  </si>
  <si>
    <t>OOP pillars: encapsulation, inheritance, polymorphism, abstraction</t>
  </si>
  <si>
    <t>SOLID principles</t>
  </si>
  <si>
    <t>Binary search</t>
  </si>
  <si>
    <t>Linked list</t>
  </si>
  <si>
    <t>SQL vs NoSQL, indexing</t>
  </si>
  <si>
    <t>Replication and sharding</t>
  </si>
  <si>
    <t>Class diagrams and relationships (composition, aggregation)</t>
  </si>
  <si>
    <t>Creational patterns: singleton, factory, builder</t>
  </si>
  <si>
    <t>Trees: traversals and DFS</t>
  </si>
  <si>
    <t>Trees: BFS and BST problems</t>
  </si>
  <si>
    <t>Caching and cache eviction</t>
  </si>
  <si>
    <t>Message queues and async processing</t>
  </si>
  <si>
    <t>CAP theorem and consistency models</t>
  </si>
  <si>
    <t>Structural patterns: adapter, decorator, facade</t>
  </si>
  <si>
    <t>Behavioral patterns: strategy, observer, state</t>
  </si>
  <si>
    <t>Heaps</t>
  </si>
  <si>
    <t>API design, consistent hashing, estimation</t>
  </si>
  <si>
    <t>Design: URL shortener</t>
  </si>
  <si>
    <t>Design</t>
  </si>
  <si>
    <t>Design: parking lot</t>
  </si>
  <si>
    <t>Graphs: BFS and DFS</t>
  </si>
  <si>
    <t>Topological sort</t>
  </si>
  <si>
    <t>Union-find</t>
  </si>
  <si>
    <t>Design: rate limiter</t>
  </si>
  <si>
    <t>Design: chat app</t>
  </si>
  <si>
    <t>Design: Splitwise</t>
  </si>
  <si>
    <t>Design: LRU cache</t>
  </si>
  <si>
    <t>1D DP</t>
  </si>
  <si>
    <t>Design: news feed</t>
  </si>
  <si>
    <t>Design: notification system</t>
  </si>
  <si>
    <t>Design: elevator</t>
  </si>
  <si>
    <t>Design: BookMyShow</t>
  </si>
  <si>
    <t>2D DP</t>
  </si>
  <si>
    <t>Design: YouTube or Netflix</t>
  </si>
  <si>
    <t>Design: Uber</t>
  </si>
  <si>
    <t>Design: payment system</t>
  </si>
  <si>
    <t>Design: vending machine</t>
  </si>
  <si>
    <t>Design: library system</t>
  </si>
  <si>
    <t>Revise weak topics</t>
  </si>
  <si>
    <t>Mock interview 1</t>
  </si>
  <si>
    <t>Mock interview 2</t>
  </si>
  <si>
    <t>Mock interview 3</t>
  </si>
  <si>
    <t>Timed redo of 3 designs</t>
  </si>
  <si>
    <t>Timed redo of 2 designs</t>
  </si>
  <si>
    <t>Date (auto)</t>
  </si>
  <si>
    <t>Milestone</t>
  </si>
  <si>
    <t>23 Oct</t>
  </si>
  <si>
    <t>Databricks Data Engineer Associate exam</t>
  </si>
  <si>
    <t>Finish Krish Naik Gen AI course</t>
  </si>
  <si>
    <t>Apply and contact recruiters</t>
  </si>
  <si>
    <t>Warm-up interview at another company</t>
  </si>
  <si>
    <t>Amazon and Microsoft interviews</t>
  </si>
  <si>
    <t>After interviews</t>
  </si>
  <si>
    <t>Databricks Gen AI certification</t>
  </si>
  <si>
    <t>Checkpoint: easy problems and some tree mediums feel doable</t>
  </si>
  <si>
    <t>Checkpoint: graph or tree medium in 30–35 minutes</t>
  </si>
  <si>
    <t>Checkpoint: 45-minute mock with 2 mediums, explaining out loud</t>
  </si>
  <si>
    <t>Theme</t>
  </si>
  <si>
    <t>Story (one line)</t>
  </si>
  <si>
    <t>Written</t>
  </si>
  <si>
    <t>Ownership</t>
  </si>
  <si>
    <t>Deliver results under pressure</t>
  </si>
  <si>
    <t>Conflict with a teammate</t>
  </si>
  <si>
    <t>Disagree and commit</t>
  </si>
  <si>
    <t>Failure and what you learned</t>
  </si>
  <si>
    <t>Dive deep into a production issue</t>
  </si>
  <si>
    <t>Customer obsession</t>
  </si>
  <si>
    <t>Invent and simplify</t>
  </si>
  <si>
    <t>Mentoring or raising the bar</t>
  </si>
  <si>
    <t>Ambiguous problem you owned</t>
  </si>
  <si>
    <t>Bias for action</t>
  </si>
  <si>
    <t>Learn and be curious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</si>
</sst>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 mmm\ yyyy"/>
    <numFmt numFmtId="165" formatCode="dd\-mmm"/>
  </numFmts>
  <fonts count="9" x14ac:knownFonts="1">
    <font>
      <sz val="11"/>
      <color theme="1"/>
      <name val="Calibri"/>
      <family val="2"/>
      <charset val="1"/>
    </font>
    <font>
      <b/>
      <sz val="18"/>
      <color rgb="FF1B2A4E"/>
      <name val="Arial"/>
      <charset val="1"/>
    </font>
    <font>
      <i/>
      <sz val="10"/>
      <color rgb="FF5D6B8A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2"/>
      <color rgb="FF1B2A4E"/>
      <name val="Arial"/>
      <charset val="1"/>
    </font>
    <font>
      <u/>
      <sz val="10"/>
      <color rgb="FF1F5FBF"/>
      <name val="Arial"/>
      <charset val="1"/>
    </font>
    <font>
      <sz val="10"/>
      <color rgb="FF7A869E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B2A4E"/>
        <bgColor rgb="FF003366"/>
      </patternFill>
    </fill>
    <fill>
      <patternFill patternType="solid">
        <fgColor rgb="FFEEF2FA"/>
        <bgColor rgb="FFE8EBF0"/>
      </patternFill>
    </fill>
    <fill>
      <patternFill patternType="solid">
        <fgColor rgb="FFFFF4C2"/>
        <bgColor rgb="FFEEF2FA"/>
      </patternFill>
    </fill>
    <fill>
      <patternFill patternType="solid">
        <fgColor rgb="FFE8EBF0"/>
        <bgColor rgb="FFEEF2FA"/>
      </patternFill>
    </fill>
  </fills>
  <borders count="2">
    <border>
      <left/>
      <right/>
      <top/>
      <bottom/>
      <diagonal/>
    </border>
    <border>
      <left style="thin">
        <color rgb="FFCFD7E6"/>
      </left>
      <right style="thin">
        <color rgb="FFCFD7E6"/>
      </right>
      <top style="thin">
        <color rgb="FFCFD7E6"/>
      </top>
      <bottom style="thin">
        <color rgb="FFCFD7E6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5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6" fillId="0" borderId="0" xfId="0" applyFont="1"/>
    <xf numFmtId="165" fontId="5" fillId="3" borderId="1" xfId="0" applyNumberFormat="1" applyFont="1" applyFill="1" applyBorder="1" applyAlignment="1">
      <alignment horizontal="center" vertical="top"/>
    </xf>
    <xf numFmtId="0" fontId="5" fillId="3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3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vertical="top" wrapText="1"/>
    </xf>
    <xf numFmtId="165" fontId="5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top"/>
    </xf>
    <xf numFmtId="165" fontId="5" fillId="4" borderId="1" xfId="0" applyNumberFormat="1" applyFont="1" applyFill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vertical="top" wrapText="1"/>
    </xf>
  </cellXfs>
  <cellStyles count="1">
    <cellStyle name="Normal" xfId="0" builtinId="0"/>
  </cellStyles>
  <dxfs count="11">
    <dxf>
      <fill>
        <patternFill>
          <bgColor rgb="FFC9EBD7"/>
        </patternFill>
      </fill>
    </dxf>
    <dxf>
      <fill>
        <patternFill>
          <bgColor rgb="FFC9EBD7"/>
        </patternFill>
      </fill>
    </dxf>
    <dxf>
      <font>
        <strike/>
        <color rgb="FF2F7D5B"/>
        <name val="Arial"/>
        <charset val="1"/>
      </font>
    </dxf>
    <dxf>
      <fill>
        <patternFill>
          <bgColor rgb="FFFFD9A8"/>
        </patternFill>
      </fill>
    </dxf>
    <dxf>
      <fill>
        <patternFill>
          <bgColor rgb="FFC9EBD7"/>
        </patternFill>
      </fill>
    </dxf>
    <dxf>
      <font>
        <b/>
        <sz val="10"/>
        <color rgb="FFC0392B"/>
        <name val="Arial"/>
        <charset val="1"/>
      </font>
    </dxf>
    <dxf>
      <fill>
        <patternFill>
          <bgColor rgb="FFFFD9A8"/>
        </patternFill>
      </fill>
    </dxf>
    <dxf>
      <fill>
        <patternFill>
          <bgColor rgb="FFC9EBD7"/>
        </patternFill>
      </fill>
    </dxf>
    <dxf>
      <fill>
        <patternFill>
          <bgColor rgb="FFC9EBD7"/>
        </patternFill>
      </fill>
    </dxf>
    <dxf>
      <font>
        <color rgb="FF7A869E"/>
        <name val="Arial"/>
        <charset val="1"/>
      </font>
      <fill>
        <patternFill>
          <bgColor rgb="FFD5D9E0"/>
        </patternFill>
      </fill>
    </dxf>
    <dxf>
      <font>
        <b/>
        <name val="Arial"/>
        <charset val="1"/>
      </font>
      <fill>
        <patternFill>
          <bgColor rgb="FFFFE36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5D9E0"/>
      <rgbColor rgb="FF7A869E"/>
      <rgbColor rgb="FF9999FF"/>
      <rgbColor rgb="FF993366"/>
      <rgbColor rgb="FFFFF4C2"/>
      <rgbColor rgb="FFEEF2FA"/>
      <rgbColor rgb="FF660066"/>
      <rgbColor rgb="FFFF8080"/>
      <rgbColor rgb="FF1F5FBF"/>
      <rgbColor rgb="FFCFD7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BF0"/>
      <rgbColor rgb="FFC9EBD7"/>
      <rgbColor rgb="FFFFE36B"/>
      <rgbColor rgb="FF99CCFF"/>
      <rgbColor rgb="FFFF99CC"/>
      <rgbColor rgb="FFCC99FF"/>
      <rgbColor rgb="FFFFD9A8"/>
      <rgbColor rgb="FF3366FF"/>
      <rgbColor rgb="FF33CCCC"/>
      <rgbColor rgb="FF99CC00"/>
      <rgbColor rgb="FFFFCC00"/>
      <rgbColor rgb="FFFF9900"/>
      <rgbColor rgb="FFFF6600"/>
      <rgbColor rgb="FF5D6B8A"/>
      <rgbColor rgb="FF969696"/>
      <rgbColor rgb="FF003366"/>
      <rgbColor rgb="FF2F7D5B"/>
      <rgbColor rgb="FF003300"/>
      <rgbColor rgb="FF333300"/>
      <rgbColor rgb="FFC0392B"/>
      <rgbColor rgb="FF993366"/>
      <rgbColor rgb="FF333399"/>
      <rgbColor rgb="FF1B2A4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neetcode.io/problems/maximum-frequency-stack?list=neetcode250" TargetMode="External"/><Relationship Id="rId299" Type="http://schemas.openxmlformats.org/officeDocument/2006/relationships/hyperlink" Target="https://neetcode.io/problems/course-schedule?list=neetcode250" TargetMode="External"/><Relationship Id="rId21" Type="http://schemas.openxmlformats.org/officeDocument/2006/relationships/hyperlink" Target="https://neetcode.io/problems/longest-common-prefix?list=neetcode250" TargetMode="External"/><Relationship Id="rId63" Type="http://schemas.openxmlformats.org/officeDocument/2006/relationships/hyperlink" Target="https://neetcode.io/problems/remove-duplicates-from-sorted-array?list=neetcode250" TargetMode="External"/><Relationship Id="rId159" Type="http://schemas.openxmlformats.org/officeDocument/2006/relationships/hyperlink" Target="https://neetcode.io/problems/add-two-numbers?list=neetcode250" TargetMode="External"/><Relationship Id="rId324" Type="http://schemas.openxmlformats.org/officeDocument/2006/relationships/hyperlink" Target="https://leetcode.com/problems/evaluate-division/" TargetMode="External"/><Relationship Id="rId366" Type="http://schemas.openxmlformats.org/officeDocument/2006/relationships/hyperlink" Target="https://leetcode.com/problems/word-break/" TargetMode="External"/><Relationship Id="rId170" Type="http://schemas.openxmlformats.org/officeDocument/2006/relationships/hyperlink" Target="https://leetcode.com/problems/reverse-linked-list-ii/" TargetMode="External"/><Relationship Id="rId226" Type="http://schemas.openxmlformats.org/officeDocument/2006/relationships/hyperlink" Target="https://leetcode.com/problems/k-closest-points-to-origin/" TargetMode="External"/><Relationship Id="rId433" Type="http://schemas.openxmlformats.org/officeDocument/2006/relationships/hyperlink" Target="https://neetcode.io/problems/longest-turbulent-subarray?list=neetcode250" TargetMode="External"/><Relationship Id="rId268" Type="http://schemas.openxmlformats.org/officeDocument/2006/relationships/hyperlink" Target="https://leetcode.com/problems/letter-combinations-of-a-phone-number/" TargetMode="External"/><Relationship Id="rId475" Type="http://schemas.openxmlformats.org/officeDocument/2006/relationships/hyperlink" Target="https://neetcode.io/problems/insert-greatest-common-divisors-in-linked-list?list=neetcode250" TargetMode="External"/><Relationship Id="rId32" Type="http://schemas.openxmlformats.org/officeDocument/2006/relationships/hyperlink" Target="https://leetcode.com/problems/sort-an-array/" TargetMode="External"/><Relationship Id="rId74" Type="http://schemas.openxmlformats.org/officeDocument/2006/relationships/hyperlink" Target="https://leetcode.com/problems/longest-substring-without-repeating-characters/" TargetMode="External"/><Relationship Id="rId128" Type="http://schemas.openxmlformats.org/officeDocument/2006/relationships/hyperlink" Target="https://leetcode.com/problems/search-in-rotated-sorted-array/" TargetMode="External"/><Relationship Id="rId335" Type="http://schemas.openxmlformats.org/officeDocument/2006/relationships/hyperlink" Target="https://neetcode.io/problems/foreign-dictionary?list=neetcode250" TargetMode="External"/><Relationship Id="rId377" Type="http://schemas.openxmlformats.org/officeDocument/2006/relationships/hyperlink" Target="https://neetcode.io/problems/integer-break?list=neetcode250" TargetMode="External"/><Relationship Id="rId500" Type="http://schemas.openxmlformats.org/officeDocument/2006/relationships/hyperlink" Target="https://leetcode.com/problems/minimum-array-end/" TargetMode="External"/><Relationship Id="rId5" Type="http://schemas.openxmlformats.org/officeDocument/2006/relationships/hyperlink" Target="https://neetcode.io/problems/two-integer-sum?list=neetcode250" TargetMode="External"/><Relationship Id="rId181" Type="http://schemas.openxmlformats.org/officeDocument/2006/relationships/hyperlink" Target="https://neetcode.io/problems/balanced-binary-tree?list=neetcode250" TargetMode="External"/><Relationship Id="rId237" Type="http://schemas.openxmlformats.org/officeDocument/2006/relationships/hyperlink" Target="https://neetcode.io/problems/reorganize-string?list=neetcode250" TargetMode="External"/><Relationship Id="rId402" Type="http://schemas.openxmlformats.org/officeDocument/2006/relationships/hyperlink" Target="https://leetcode.com/problems/regular-expression-matching/" TargetMode="External"/><Relationship Id="rId279" Type="http://schemas.openxmlformats.org/officeDocument/2006/relationships/hyperlink" Target="https://neetcode.io/problems/partition-to-k-equal-sum-subsets?list=neetcode250" TargetMode="External"/><Relationship Id="rId444" Type="http://schemas.openxmlformats.org/officeDocument/2006/relationships/hyperlink" Target="https://leetcode.com/problems/merge-intervals/" TargetMode="External"/><Relationship Id="rId486" Type="http://schemas.openxmlformats.org/officeDocument/2006/relationships/hyperlink" Target="https://leetcode.com/problems/counting-bits/" TargetMode="External"/><Relationship Id="rId43" Type="http://schemas.openxmlformats.org/officeDocument/2006/relationships/hyperlink" Target="https://neetcode.io/problems/first-missing-positive?list=neetcode250" TargetMode="External"/><Relationship Id="rId139" Type="http://schemas.openxmlformats.org/officeDocument/2006/relationships/hyperlink" Target="https://neetcode.io/problems/capacity-to-ship-packages-within-d-days?list=neetcode250" TargetMode="External"/><Relationship Id="rId290" Type="http://schemas.openxmlformats.org/officeDocument/2006/relationships/hyperlink" Target="https://leetcode.com/problems/clone-graph/" TargetMode="External"/><Relationship Id="rId304" Type="http://schemas.openxmlformats.org/officeDocument/2006/relationships/hyperlink" Target="https://leetcode.com/problems/graph-valid-tree/" TargetMode="External"/><Relationship Id="rId346" Type="http://schemas.openxmlformats.org/officeDocument/2006/relationships/hyperlink" Target="https://leetcode.com/problems/greatest-common-divisor-traversal" TargetMode="External"/><Relationship Id="rId388" Type="http://schemas.openxmlformats.org/officeDocument/2006/relationships/hyperlink" Target="https://leetcode.com/problems/coin-change-ii/" TargetMode="External"/><Relationship Id="rId85" Type="http://schemas.openxmlformats.org/officeDocument/2006/relationships/hyperlink" Target="https://neetcode.io/problems/minimum-size-subarray-sum?list=neetcode250" TargetMode="External"/><Relationship Id="rId150" Type="http://schemas.openxmlformats.org/officeDocument/2006/relationships/hyperlink" Target="https://leetcode.com/problems/merge-two-sorted-lists/" TargetMode="External"/><Relationship Id="rId192" Type="http://schemas.openxmlformats.org/officeDocument/2006/relationships/hyperlink" Target="https://leetcode.com/problems/binary-tree-right-side-view/" TargetMode="External"/><Relationship Id="rId206" Type="http://schemas.openxmlformats.org/officeDocument/2006/relationships/hyperlink" Target="https://leetcode.com/problems/binary-tree-inorder-traversal/" TargetMode="External"/><Relationship Id="rId413" Type="http://schemas.openxmlformats.org/officeDocument/2006/relationships/hyperlink" Target="https://neetcode.io/problems/maximum-subarray?list=neetcode250" TargetMode="External"/><Relationship Id="rId248" Type="http://schemas.openxmlformats.org/officeDocument/2006/relationships/hyperlink" Target="https://leetcode.com/problems/design-add-and-search-words-data-structure/" TargetMode="External"/><Relationship Id="rId455" Type="http://schemas.openxmlformats.org/officeDocument/2006/relationships/hyperlink" Target="https://neetcode.io/problems/rotate-matrix?list=neetcode250" TargetMode="External"/><Relationship Id="rId497" Type="http://schemas.openxmlformats.org/officeDocument/2006/relationships/hyperlink" Target="https://neetcode.io/problems/bitwise-and-of-numbers-range?list=neetcode250" TargetMode="External"/><Relationship Id="rId12" Type="http://schemas.openxmlformats.org/officeDocument/2006/relationships/hyperlink" Target="https://leetcode.com/problems/encode-and-decode-strings/" TargetMode="External"/><Relationship Id="rId108" Type="http://schemas.openxmlformats.org/officeDocument/2006/relationships/hyperlink" Target="https://leetcode.com/problems/implement-queue-using-stacks" TargetMode="External"/><Relationship Id="rId315" Type="http://schemas.openxmlformats.org/officeDocument/2006/relationships/hyperlink" Target="https://neetcode.io/problems/find-the-town-judge?list=neetcode250" TargetMode="External"/><Relationship Id="rId357" Type="http://schemas.openxmlformats.org/officeDocument/2006/relationships/hyperlink" Target="https://neetcode.io/problems/palindromic-substrings?list=neetcode250" TargetMode="External"/><Relationship Id="rId54" Type="http://schemas.openxmlformats.org/officeDocument/2006/relationships/hyperlink" Target="https://leetcode.com/problems/trapping-rain-water/" TargetMode="External"/><Relationship Id="rId96" Type="http://schemas.openxmlformats.org/officeDocument/2006/relationships/hyperlink" Target="https://leetcode.com/problems/generate-parentheses/" TargetMode="External"/><Relationship Id="rId161" Type="http://schemas.openxmlformats.org/officeDocument/2006/relationships/hyperlink" Target="https://neetcode.io/problems/find-duplicate-integer?list=neetcode250" TargetMode="External"/><Relationship Id="rId217" Type="http://schemas.openxmlformats.org/officeDocument/2006/relationships/hyperlink" Target="https://neetcode.io/problems/house-robber-iii?list=neetcode250" TargetMode="External"/><Relationship Id="rId399" Type="http://schemas.openxmlformats.org/officeDocument/2006/relationships/hyperlink" Target="https://neetcode.io/problems/burst-balloons?list=neetcode250" TargetMode="External"/><Relationship Id="rId259" Type="http://schemas.openxmlformats.org/officeDocument/2006/relationships/hyperlink" Target="https://neetcode.io/problems/permutations?list=neetcode250" TargetMode="External"/><Relationship Id="rId424" Type="http://schemas.openxmlformats.org/officeDocument/2006/relationships/hyperlink" Target="https://leetcode.com/problems/merge-triplets-to-form-target-triplet/" TargetMode="External"/><Relationship Id="rId466" Type="http://schemas.openxmlformats.org/officeDocument/2006/relationships/hyperlink" Target="https://leetcode.com/problems/powx-n/" TargetMode="External"/><Relationship Id="rId23" Type="http://schemas.openxmlformats.org/officeDocument/2006/relationships/hyperlink" Target="https://neetcode.io/problems/remove-element?list=neetcode250" TargetMode="External"/><Relationship Id="rId119" Type="http://schemas.openxmlformats.org/officeDocument/2006/relationships/hyperlink" Target="https://neetcode.io/problems/binary-search?list=neetcode250" TargetMode="External"/><Relationship Id="rId270" Type="http://schemas.openxmlformats.org/officeDocument/2006/relationships/hyperlink" Target="https://leetcode.com/problems/n-queens/" TargetMode="External"/><Relationship Id="rId326" Type="http://schemas.openxmlformats.org/officeDocument/2006/relationships/hyperlink" Target="https://leetcode.com/problems/minimum-height-trees" TargetMode="External"/><Relationship Id="rId65" Type="http://schemas.openxmlformats.org/officeDocument/2006/relationships/hyperlink" Target="https://neetcode.io/problems/4sum?list=neetcode250" TargetMode="External"/><Relationship Id="rId130" Type="http://schemas.openxmlformats.org/officeDocument/2006/relationships/hyperlink" Target="https://leetcode.com/problems/time-based-key-value-store/" TargetMode="External"/><Relationship Id="rId368" Type="http://schemas.openxmlformats.org/officeDocument/2006/relationships/hyperlink" Target="https://leetcode.com/problems/longest-increasing-subsequence/" TargetMode="External"/><Relationship Id="rId172" Type="http://schemas.openxmlformats.org/officeDocument/2006/relationships/hyperlink" Target="https://leetcode.com/problems/design-circular-queue/" TargetMode="External"/><Relationship Id="rId228" Type="http://schemas.openxmlformats.org/officeDocument/2006/relationships/hyperlink" Target="https://leetcode.com/problems/kth-largest-element-in-an-array/" TargetMode="External"/><Relationship Id="rId435" Type="http://schemas.openxmlformats.org/officeDocument/2006/relationships/hyperlink" Target="https://neetcode.io/problems/jump-game-vii?list=neetcode250" TargetMode="External"/><Relationship Id="rId477" Type="http://schemas.openxmlformats.org/officeDocument/2006/relationships/hyperlink" Target="https://neetcode.io/problems/transpose-matrix?list=neetcode250" TargetMode="External"/><Relationship Id="rId281" Type="http://schemas.openxmlformats.org/officeDocument/2006/relationships/hyperlink" Target="https://neetcode.io/problems/n-queens-ii?list=neetcode250" TargetMode="External"/><Relationship Id="rId337" Type="http://schemas.openxmlformats.org/officeDocument/2006/relationships/hyperlink" Target="https://neetcode.io/problems/cheapest-flight-path?list=neetcode250" TargetMode="External"/><Relationship Id="rId34" Type="http://schemas.openxmlformats.org/officeDocument/2006/relationships/hyperlink" Target="https://leetcode.com/problems/sort-colors/" TargetMode="External"/><Relationship Id="rId76" Type="http://schemas.openxmlformats.org/officeDocument/2006/relationships/hyperlink" Target="https://leetcode.com/problems/longest-repeating-character-replacement/" TargetMode="External"/><Relationship Id="rId141" Type="http://schemas.openxmlformats.org/officeDocument/2006/relationships/hyperlink" Target="https://neetcode.io/problems/search-in-rotated-sorted-array-ii?list=neetcode250" TargetMode="External"/><Relationship Id="rId379" Type="http://schemas.openxmlformats.org/officeDocument/2006/relationships/hyperlink" Target="https://neetcode.io/problems/stone-game-iii?list=neetcode250" TargetMode="External"/><Relationship Id="rId7" Type="http://schemas.openxmlformats.org/officeDocument/2006/relationships/hyperlink" Target="https://neetcode.io/problems/anagram-groups?list=neetcode250" TargetMode="External"/><Relationship Id="rId183" Type="http://schemas.openxmlformats.org/officeDocument/2006/relationships/hyperlink" Target="https://neetcode.io/problems/same-binary-tree?list=neetcode250" TargetMode="External"/><Relationship Id="rId239" Type="http://schemas.openxmlformats.org/officeDocument/2006/relationships/hyperlink" Target="https://neetcode.io/problems/longest-happy-string?list=neetcode250" TargetMode="External"/><Relationship Id="rId390" Type="http://schemas.openxmlformats.org/officeDocument/2006/relationships/hyperlink" Target="https://leetcode.com/problems/target-sum/" TargetMode="External"/><Relationship Id="rId404" Type="http://schemas.openxmlformats.org/officeDocument/2006/relationships/hyperlink" Target="https://leetcode.com/problems/unique-paths-ii/" TargetMode="External"/><Relationship Id="rId446" Type="http://schemas.openxmlformats.org/officeDocument/2006/relationships/hyperlink" Target="https://leetcode.com/problems/non-overlapping-intervals/" TargetMode="External"/><Relationship Id="rId250" Type="http://schemas.openxmlformats.org/officeDocument/2006/relationships/hyperlink" Target="https://leetcode.com/problems/word-search-ii/" TargetMode="External"/><Relationship Id="rId292" Type="http://schemas.openxmlformats.org/officeDocument/2006/relationships/hyperlink" Target="https://leetcode.com/problems/walls-and-gates/" TargetMode="External"/><Relationship Id="rId306" Type="http://schemas.openxmlformats.org/officeDocument/2006/relationships/hyperlink" Target="https://leetcode.com/problems/number-of-connected-components-in-an-undirected-graph/" TargetMode="External"/><Relationship Id="rId488" Type="http://schemas.openxmlformats.org/officeDocument/2006/relationships/hyperlink" Target="https://leetcode.com/problems/reverse-bits/" TargetMode="External"/><Relationship Id="rId45" Type="http://schemas.openxmlformats.org/officeDocument/2006/relationships/hyperlink" Target="https://neetcode.io/problems/is-palindrome?list=neetcode250" TargetMode="External"/><Relationship Id="rId87" Type="http://schemas.openxmlformats.org/officeDocument/2006/relationships/hyperlink" Target="https://neetcode.io/problems/find-k-closest-elements?list=neetcode250" TargetMode="External"/><Relationship Id="rId110" Type="http://schemas.openxmlformats.org/officeDocument/2006/relationships/hyperlink" Target="https://leetcode.com/problems/asteroid-collision/" TargetMode="External"/><Relationship Id="rId348" Type="http://schemas.openxmlformats.org/officeDocument/2006/relationships/hyperlink" Target="https://leetcode.com/problems/climbing-stairs/" TargetMode="External"/><Relationship Id="rId152" Type="http://schemas.openxmlformats.org/officeDocument/2006/relationships/hyperlink" Target="https://leetcode.com/problems/linked-list-cycle/" TargetMode="External"/><Relationship Id="rId194" Type="http://schemas.openxmlformats.org/officeDocument/2006/relationships/hyperlink" Target="https://leetcode.com/problems/count-good-nodes-in-binary-tree/" TargetMode="External"/><Relationship Id="rId208" Type="http://schemas.openxmlformats.org/officeDocument/2006/relationships/hyperlink" Target="https://leetcode.com/problems/binary-tree-preorder-traversal/" TargetMode="External"/><Relationship Id="rId415" Type="http://schemas.openxmlformats.org/officeDocument/2006/relationships/hyperlink" Target="https://neetcode.io/problems/jump-game?list=neetcode250" TargetMode="External"/><Relationship Id="rId457" Type="http://schemas.openxmlformats.org/officeDocument/2006/relationships/hyperlink" Target="https://neetcode.io/problems/spiral-matrix?list=neetcode250" TargetMode="External"/><Relationship Id="rId261" Type="http://schemas.openxmlformats.org/officeDocument/2006/relationships/hyperlink" Target="https://neetcode.io/problems/subsets-ii?list=neetcode250" TargetMode="External"/><Relationship Id="rId499" Type="http://schemas.openxmlformats.org/officeDocument/2006/relationships/hyperlink" Target="https://neetcode.io/problems/minimum-array-end?list=neetcode250" TargetMode="External"/><Relationship Id="rId14" Type="http://schemas.openxmlformats.org/officeDocument/2006/relationships/hyperlink" Target="https://leetcode.com/problems/product-of-array-except-self/" TargetMode="External"/><Relationship Id="rId56" Type="http://schemas.openxmlformats.org/officeDocument/2006/relationships/hyperlink" Target="https://leetcode.com/problems/reverse-string/" TargetMode="External"/><Relationship Id="rId317" Type="http://schemas.openxmlformats.org/officeDocument/2006/relationships/hyperlink" Target="https://neetcode.io/problems/open-the-lock?list=neetcode250" TargetMode="External"/><Relationship Id="rId359" Type="http://schemas.openxmlformats.org/officeDocument/2006/relationships/hyperlink" Target="https://neetcode.io/problems/decode-ways?list=neetcode250" TargetMode="External"/><Relationship Id="rId98" Type="http://schemas.openxmlformats.org/officeDocument/2006/relationships/hyperlink" Target="https://leetcode.com/problems/daily-temperatures/" TargetMode="External"/><Relationship Id="rId121" Type="http://schemas.openxmlformats.org/officeDocument/2006/relationships/hyperlink" Target="https://neetcode.io/problems/search-2d-matrix?list=neetcode250" TargetMode="External"/><Relationship Id="rId163" Type="http://schemas.openxmlformats.org/officeDocument/2006/relationships/hyperlink" Target="https://neetcode.io/problems/lru-cache?list=neetcode250" TargetMode="External"/><Relationship Id="rId219" Type="http://schemas.openxmlformats.org/officeDocument/2006/relationships/hyperlink" Target="https://neetcode.io/problems/delete-leaves-with-a-given-value?list=neetcode250" TargetMode="External"/><Relationship Id="rId370" Type="http://schemas.openxmlformats.org/officeDocument/2006/relationships/hyperlink" Target="https://leetcode.com/problems/partition-equal-subset-sum/" TargetMode="External"/><Relationship Id="rId426" Type="http://schemas.openxmlformats.org/officeDocument/2006/relationships/hyperlink" Target="https://leetcode.com/problems/partition-labels/" TargetMode="External"/><Relationship Id="rId230" Type="http://schemas.openxmlformats.org/officeDocument/2006/relationships/hyperlink" Target="https://leetcode.com/problems/task-scheduler/" TargetMode="External"/><Relationship Id="rId468" Type="http://schemas.openxmlformats.org/officeDocument/2006/relationships/hyperlink" Target="https://leetcode.com/problems/multiply-strings/" TargetMode="External"/><Relationship Id="rId25" Type="http://schemas.openxmlformats.org/officeDocument/2006/relationships/hyperlink" Target="https://neetcode.io/problems/majority-element?list=neetcode250" TargetMode="External"/><Relationship Id="rId67" Type="http://schemas.openxmlformats.org/officeDocument/2006/relationships/hyperlink" Target="https://neetcode.io/problems/rotate-array?list=neetcode250" TargetMode="External"/><Relationship Id="rId272" Type="http://schemas.openxmlformats.org/officeDocument/2006/relationships/hyperlink" Target="https://leetcode.com/problems/sum-of-all-subset-xor-totals" TargetMode="External"/><Relationship Id="rId328" Type="http://schemas.openxmlformats.org/officeDocument/2006/relationships/hyperlink" Target="https://leetcode.com/problems/network-delay-time/" TargetMode="External"/><Relationship Id="rId132" Type="http://schemas.openxmlformats.org/officeDocument/2006/relationships/hyperlink" Target="https://leetcode.com/problems/median-of-two-sorted-arrays/" TargetMode="External"/><Relationship Id="rId174" Type="http://schemas.openxmlformats.org/officeDocument/2006/relationships/hyperlink" Target="https://leetcode.com/problems/lfu-cache/" TargetMode="External"/><Relationship Id="rId381" Type="http://schemas.openxmlformats.org/officeDocument/2006/relationships/hyperlink" Target="https://neetcode.io/problems/count-paths?list=neetcode250" TargetMode="External"/><Relationship Id="rId241" Type="http://schemas.openxmlformats.org/officeDocument/2006/relationships/hyperlink" Target="https://neetcode.io/problems/car-pooling?list=neetcode250" TargetMode="External"/><Relationship Id="rId437" Type="http://schemas.openxmlformats.org/officeDocument/2006/relationships/hyperlink" Target="https://neetcode.io/problems/dota2-senate?list=neetcode250" TargetMode="External"/><Relationship Id="rId479" Type="http://schemas.openxmlformats.org/officeDocument/2006/relationships/hyperlink" Target="https://neetcode.io/problems/roman-to-integer?list=neetcode250" TargetMode="External"/><Relationship Id="rId36" Type="http://schemas.openxmlformats.org/officeDocument/2006/relationships/hyperlink" Target="https://leetcode.com/problems/range-sum-query-2d-immutable/" TargetMode="External"/><Relationship Id="rId283" Type="http://schemas.openxmlformats.org/officeDocument/2006/relationships/hyperlink" Target="https://neetcode.io/problems/word-break-ii?list=neetcode250" TargetMode="External"/><Relationship Id="rId339" Type="http://schemas.openxmlformats.org/officeDocument/2006/relationships/hyperlink" Target="https://neetcode.io/problems/path-with-minimum-effort?list=neetcode250" TargetMode="External"/><Relationship Id="rId490" Type="http://schemas.openxmlformats.org/officeDocument/2006/relationships/hyperlink" Target="https://leetcode.com/problems/missing-number/" TargetMode="External"/><Relationship Id="rId78" Type="http://schemas.openxmlformats.org/officeDocument/2006/relationships/hyperlink" Target="https://leetcode.com/problems/permutation-in-string/" TargetMode="External"/><Relationship Id="rId101" Type="http://schemas.openxmlformats.org/officeDocument/2006/relationships/hyperlink" Target="https://neetcode.io/problems/largest-rectangle-in-histogram?list=neetcode250" TargetMode="External"/><Relationship Id="rId143" Type="http://schemas.openxmlformats.org/officeDocument/2006/relationships/hyperlink" Target="https://neetcode.io/problems/split-array-largest-sum?list=neetcode250" TargetMode="External"/><Relationship Id="rId185" Type="http://schemas.openxmlformats.org/officeDocument/2006/relationships/hyperlink" Target="https://neetcode.io/problems/subtree-of-a-binary-tree?list=neetcode250" TargetMode="External"/><Relationship Id="rId350" Type="http://schemas.openxmlformats.org/officeDocument/2006/relationships/hyperlink" Target="https://leetcode.com/problems/min-cost-climbing-stairs/" TargetMode="External"/><Relationship Id="rId406" Type="http://schemas.openxmlformats.org/officeDocument/2006/relationships/hyperlink" Target="https://leetcode.com/problems/minimum-path-sum/" TargetMode="External"/><Relationship Id="rId9" Type="http://schemas.openxmlformats.org/officeDocument/2006/relationships/hyperlink" Target="https://neetcode.io/problems/top-k-elements-in-list?list=neetcode250" TargetMode="External"/><Relationship Id="rId210" Type="http://schemas.openxmlformats.org/officeDocument/2006/relationships/hyperlink" Target="https://leetcode.com/problems/binary-tree-postorder-traversal/" TargetMode="External"/><Relationship Id="rId392" Type="http://schemas.openxmlformats.org/officeDocument/2006/relationships/hyperlink" Target="https://leetcode.com/problems/interleaving-string/" TargetMode="External"/><Relationship Id="rId448" Type="http://schemas.openxmlformats.org/officeDocument/2006/relationships/hyperlink" Target="https://leetcode.com/problems/meeting-rooms/" TargetMode="External"/><Relationship Id="rId252" Type="http://schemas.openxmlformats.org/officeDocument/2006/relationships/hyperlink" Target="https://leetcode.com/problems/extra-characters-in-a-string/" TargetMode="External"/><Relationship Id="rId294" Type="http://schemas.openxmlformats.org/officeDocument/2006/relationships/hyperlink" Target="https://leetcode.com/problems/rotting-oranges/" TargetMode="External"/><Relationship Id="rId308" Type="http://schemas.openxmlformats.org/officeDocument/2006/relationships/hyperlink" Target="https://leetcode.com/problems/redundant-connection/" TargetMode="External"/><Relationship Id="rId47" Type="http://schemas.openxmlformats.org/officeDocument/2006/relationships/hyperlink" Target="https://neetcode.io/problems/two-integer-sum-ii?list=neetcode250" TargetMode="External"/><Relationship Id="rId89" Type="http://schemas.openxmlformats.org/officeDocument/2006/relationships/hyperlink" Target="https://neetcode.io/problems/validate-parentheses?list=neetcode250" TargetMode="External"/><Relationship Id="rId112" Type="http://schemas.openxmlformats.org/officeDocument/2006/relationships/hyperlink" Target="https://leetcode.com/problems/online-stock-span/" TargetMode="External"/><Relationship Id="rId154" Type="http://schemas.openxmlformats.org/officeDocument/2006/relationships/hyperlink" Target="https://leetcode.com/problems/reorder-list/" TargetMode="External"/><Relationship Id="rId361" Type="http://schemas.openxmlformats.org/officeDocument/2006/relationships/hyperlink" Target="https://neetcode.io/problems/coin-change?list=neetcode250" TargetMode="External"/><Relationship Id="rId196" Type="http://schemas.openxmlformats.org/officeDocument/2006/relationships/hyperlink" Target="https://leetcode.com/problems/validate-binary-search-tree/" TargetMode="External"/><Relationship Id="rId417" Type="http://schemas.openxmlformats.org/officeDocument/2006/relationships/hyperlink" Target="https://neetcode.io/problems/jump-game-ii?list=neetcode250" TargetMode="External"/><Relationship Id="rId459" Type="http://schemas.openxmlformats.org/officeDocument/2006/relationships/hyperlink" Target="https://neetcode.io/problems/set-zeroes-in-matrix?list=neetcode250" TargetMode="External"/><Relationship Id="rId16" Type="http://schemas.openxmlformats.org/officeDocument/2006/relationships/hyperlink" Target="https://leetcode.com/problems/valid-sudoku/" TargetMode="External"/><Relationship Id="rId221" Type="http://schemas.openxmlformats.org/officeDocument/2006/relationships/hyperlink" Target="https://neetcode.io/problems/kth-largest-integer-in-a-stream?list=neetcode250" TargetMode="External"/><Relationship Id="rId263" Type="http://schemas.openxmlformats.org/officeDocument/2006/relationships/hyperlink" Target="https://neetcode.io/problems/search-for-word?list=neetcode250" TargetMode="External"/><Relationship Id="rId319" Type="http://schemas.openxmlformats.org/officeDocument/2006/relationships/hyperlink" Target="https://neetcode.io/problems/course-schedule-iv?list=neetcode250" TargetMode="External"/><Relationship Id="rId470" Type="http://schemas.openxmlformats.org/officeDocument/2006/relationships/hyperlink" Target="https://leetcode.com/problems/detect-squares/" TargetMode="External"/><Relationship Id="rId58" Type="http://schemas.openxmlformats.org/officeDocument/2006/relationships/hyperlink" Target="https://leetcode.com/problems/valid-palindrome-ii/" TargetMode="External"/><Relationship Id="rId123" Type="http://schemas.openxmlformats.org/officeDocument/2006/relationships/hyperlink" Target="https://neetcode.io/problems/eating-bananas?list=neetcode250" TargetMode="External"/><Relationship Id="rId330" Type="http://schemas.openxmlformats.org/officeDocument/2006/relationships/hyperlink" Target="https://leetcode.com/problems/reconstruct-itinerary/" TargetMode="External"/><Relationship Id="rId165" Type="http://schemas.openxmlformats.org/officeDocument/2006/relationships/hyperlink" Target="https://neetcode.io/problems/merge-k-sorted-linked-lists?list=neetcode250" TargetMode="External"/><Relationship Id="rId372" Type="http://schemas.openxmlformats.org/officeDocument/2006/relationships/hyperlink" Target="https://leetcode.com/problems/n-th-tribonacci-number/" TargetMode="External"/><Relationship Id="rId428" Type="http://schemas.openxmlformats.org/officeDocument/2006/relationships/hyperlink" Target="https://leetcode.com/problems/valid-parenthesis-string/" TargetMode="External"/><Relationship Id="rId232" Type="http://schemas.openxmlformats.org/officeDocument/2006/relationships/hyperlink" Target="https://leetcode.com/problems/design-twitter/" TargetMode="External"/><Relationship Id="rId274" Type="http://schemas.openxmlformats.org/officeDocument/2006/relationships/hyperlink" Target="https://leetcode.com/problems/combinations/" TargetMode="External"/><Relationship Id="rId481" Type="http://schemas.openxmlformats.org/officeDocument/2006/relationships/hyperlink" Target="https://neetcode.io/problems/single-number?list=neetcode250" TargetMode="External"/><Relationship Id="rId27" Type="http://schemas.openxmlformats.org/officeDocument/2006/relationships/hyperlink" Target="https://neetcode.io/problems/design-hashset?list=neetcode250" TargetMode="External"/><Relationship Id="rId69" Type="http://schemas.openxmlformats.org/officeDocument/2006/relationships/hyperlink" Target="https://neetcode.io/problems/boats-to-save-people?list=neetcode250" TargetMode="External"/><Relationship Id="rId134" Type="http://schemas.openxmlformats.org/officeDocument/2006/relationships/hyperlink" Target="https://leetcode.com/problems/search-insert-position/" TargetMode="External"/><Relationship Id="rId80" Type="http://schemas.openxmlformats.org/officeDocument/2006/relationships/hyperlink" Target="https://leetcode.com/problems/minimum-window-substring/" TargetMode="External"/><Relationship Id="rId176" Type="http://schemas.openxmlformats.org/officeDocument/2006/relationships/hyperlink" Target="https://leetcode.com/problems/invert-binary-tree/" TargetMode="External"/><Relationship Id="rId341" Type="http://schemas.openxmlformats.org/officeDocument/2006/relationships/hyperlink" Target="https://neetcode.io/problems/find-critical-and-pseudo-critical-edges-in-minimum-spanning-tree?list=neetcode250" TargetMode="External"/><Relationship Id="rId383" Type="http://schemas.openxmlformats.org/officeDocument/2006/relationships/hyperlink" Target="https://neetcode.io/problems/longest-common-subsequence?list=neetcode250" TargetMode="External"/><Relationship Id="rId439" Type="http://schemas.openxmlformats.org/officeDocument/2006/relationships/hyperlink" Target="https://neetcode.io/problems/candy?list=neetcode250" TargetMode="External"/><Relationship Id="rId201" Type="http://schemas.openxmlformats.org/officeDocument/2006/relationships/hyperlink" Target="https://neetcode.io/problems/binary-tree-maximum-path-sum?list=neetcode250" TargetMode="External"/><Relationship Id="rId243" Type="http://schemas.openxmlformats.org/officeDocument/2006/relationships/hyperlink" Target="https://neetcode.io/problems/ipo?list=neetcode250" TargetMode="External"/><Relationship Id="rId285" Type="http://schemas.openxmlformats.org/officeDocument/2006/relationships/hyperlink" Target="https://neetcode.io/problems/count-number-of-islands?list=neetcode250" TargetMode="External"/><Relationship Id="rId450" Type="http://schemas.openxmlformats.org/officeDocument/2006/relationships/hyperlink" Target="https://leetcode.com/problems/meeting-rooms-ii/" TargetMode="External"/><Relationship Id="rId38" Type="http://schemas.openxmlformats.org/officeDocument/2006/relationships/hyperlink" Target="https://leetcode.com/problems/best-time-to-buy-and-sell-stock-ii/" TargetMode="External"/><Relationship Id="rId103" Type="http://schemas.openxmlformats.org/officeDocument/2006/relationships/hyperlink" Target="https://neetcode.io/problems/baseball-game?list=neetcode250" TargetMode="External"/><Relationship Id="rId310" Type="http://schemas.openxmlformats.org/officeDocument/2006/relationships/hyperlink" Target="https://leetcode.com/problems/word-ladder/" TargetMode="External"/><Relationship Id="rId492" Type="http://schemas.openxmlformats.org/officeDocument/2006/relationships/hyperlink" Target="https://leetcode.com/problems/sum-of-two-integers/" TargetMode="External"/><Relationship Id="rId91" Type="http://schemas.openxmlformats.org/officeDocument/2006/relationships/hyperlink" Target="https://neetcode.io/problems/minimum-stack?list=neetcode250" TargetMode="External"/><Relationship Id="rId145" Type="http://schemas.openxmlformats.org/officeDocument/2006/relationships/hyperlink" Target="https://neetcode.io/problems/find-in-mountain-array?list=neetcode250" TargetMode="External"/><Relationship Id="rId187" Type="http://schemas.openxmlformats.org/officeDocument/2006/relationships/hyperlink" Target="https://neetcode.io/problems/lowest-common-ancestor-in-binary-search-tree?list=neetcode250" TargetMode="External"/><Relationship Id="rId352" Type="http://schemas.openxmlformats.org/officeDocument/2006/relationships/hyperlink" Target="https://leetcode.com/problems/house-robber/" TargetMode="External"/><Relationship Id="rId394" Type="http://schemas.openxmlformats.org/officeDocument/2006/relationships/hyperlink" Target="https://leetcode.com/problems/longest-increasing-path-in-a-matrix/" TargetMode="External"/><Relationship Id="rId408" Type="http://schemas.openxmlformats.org/officeDocument/2006/relationships/hyperlink" Target="https://leetcode.com/problems/last-stone-weight-ii/" TargetMode="External"/><Relationship Id="rId212" Type="http://schemas.openxmlformats.org/officeDocument/2006/relationships/hyperlink" Target="https://leetcode.com/problems/insert-into-a-binary-search-tree/" TargetMode="External"/><Relationship Id="rId254" Type="http://schemas.openxmlformats.org/officeDocument/2006/relationships/hyperlink" Target="https://leetcode.com/problems/subsets/" TargetMode="External"/><Relationship Id="rId49" Type="http://schemas.openxmlformats.org/officeDocument/2006/relationships/hyperlink" Target="https://neetcode.io/problems/three-integer-sum?list=neetcode250" TargetMode="External"/><Relationship Id="rId114" Type="http://schemas.openxmlformats.org/officeDocument/2006/relationships/hyperlink" Target="https://leetcode.com/problems/simplify-path/" TargetMode="External"/><Relationship Id="rId296" Type="http://schemas.openxmlformats.org/officeDocument/2006/relationships/hyperlink" Target="https://leetcode.com/problems/pacific-atlantic-water-flow/" TargetMode="External"/><Relationship Id="rId461" Type="http://schemas.openxmlformats.org/officeDocument/2006/relationships/hyperlink" Target="https://neetcode.io/problems/non-cyclical-number?list=neetcode250" TargetMode="External"/><Relationship Id="rId60" Type="http://schemas.openxmlformats.org/officeDocument/2006/relationships/hyperlink" Target="https://leetcode.com/problems/merge-strings-alternately/" TargetMode="External"/><Relationship Id="rId156" Type="http://schemas.openxmlformats.org/officeDocument/2006/relationships/hyperlink" Target="https://leetcode.com/problems/remove-nth-node-from-end-of-list/" TargetMode="External"/><Relationship Id="rId198" Type="http://schemas.openxmlformats.org/officeDocument/2006/relationships/hyperlink" Target="https://leetcode.com/problems/kth-smallest-element-in-a-bst/" TargetMode="External"/><Relationship Id="rId321" Type="http://schemas.openxmlformats.org/officeDocument/2006/relationships/hyperlink" Target="https://neetcode.io/problems/accounts-merge?list=neetcode250" TargetMode="External"/><Relationship Id="rId363" Type="http://schemas.openxmlformats.org/officeDocument/2006/relationships/hyperlink" Target="https://neetcode.io/problems/maximum-product-subarray?list=neetcode250" TargetMode="External"/><Relationship Id="rId419" Type="http://schemas.openxmlformats.org/officeDocument/2006/relationships/hyperlink" Target="https://neetcode.io/problems/gas-station?list=neetcode250" TargetMode="External"/><Relationship Id="rId223" Type="http://schemas.openxmlformats.org/officeDocument/2006/relationships/hyperlink" Target="https://neetcode.io/problems/last-stone-weight?list=neetcode250" TargetMode="External"/><Relationship Id="rId430" Type="http://schemas.openxmlformats.org/officeDocument/2006/relationships/hyperlink" Target="https://leetcode.com/problems/lemonade-change/" TargetMode="External"/><Relationship Id="rId18" Type="http://schemas.openxmlformats.org/officeDocument/2006/relationships/hyperlink" Target="https://leetcode.com/problems/longest-consecutive-sequence/" TargetMode="External"/><Relationship Id="rId265" Type="http://schemas.openxmlformats.org/officeDocument/2006/relationships/hyperlink" Target="https://neetcode.io/problems/palindrome-partitioning?list=neetcode250" TargetMode="External"/><Relationship Id="rId472" Type="http://schemas.openxmlformats.org/officeDocument/2006/relationships/hyperlink" Target="https://leetcode.com/problems/excel-sheet-column-title/" TargetMode="External"/><Relationship Id="rId125" Type="http://schemas.openxmlformats.org/officeDocument/2006/relationships/hyperlink" Target="https://neetcode.io/problems/find-minimum-in-rotated-sorted-array?list=neetcode250" TargetMode="External"/><Relationship Id="rId167" Type="http://schemas.openxmlformats.org/officeDocument/2006/relationships/hyperlink" Target="https://neetcode.io/problems/reverse-nodes-in-k-group?list=neetcode250" TargetMode="External"/><Relationship Id="rId332" Type="http://schemas.openxmlformats.org/officeDocument/2006/relationships/hyperlink" Target="https://leetcode.com/problems/min-cost-to-connect-all-points/" TargetMode="External"/><Relationship Id="rId374" Type="http://schemas.openxmlformats.org/officeDocument/2006/relationships/hyperlink" Target="https://leetcode.com/problems/combination-sum-iv/" TargetMode="External"/><Relationship Id="rId71" Type="http://schemas.openxmlformats.org/officeDocument/2006/relationships/hyperlink" Target="https://neetcode.io/problems/buy-and-sell-crypto?list=neetcode250" TargetMode="External"/><Relationship Id="rId234" Type="http://schemas.openxmlformats.org/officeDocument/2006/relationships/hyperlink" Target="https://leetcode.com/problems/find-median-from-data-stream/" TargetMode="External"/><Relationship Id="rId2" Type="http://schemas.openxmlformats.org/officeDocument/2006/relationships/hyperlink" Target="https://leetcode.com/problems/contains-duplicate/" TargetMode="External"/><Relationship Id="rId29" Type="http://schemas.openxmlformats.org/officeDocument/2006/relationships/hyperlink" Target="https://neetcode.io/problems/design-hashmap?list=neetcode250" TargetMode="External"/><Relationship Id="rId276" Type="http://schemas.openxmlformats.org/officeDocument/2006/relationships/hyperlink" Target="https://leetcode.com/problems/permutations-ii/" TargetMode="External"/><Relationship Id="rId441" Type="http://schemas.openxmlformats.org/officeDocument/2006/relationships/hyperlink" Target="https://neetcode.io/problems/insert-new-interval?list=neetcode250" TargetMode="External"/><Relationship Id="rId483" Type="http://schemas.openxmlformats.org/officeDocument/2006/relationships/hyperlink" Target="https://neetcode.io/problems/number-of-one-bits?list=neetcode250" TargetMode="External"/><Relationship Id="rId40" Type="http://schemas.openxmlformats.org/officeDocument/2006/relationships/hyperlink" Target="https://leetcode.com/problems/majority-element-ii" TargetMode="External"/><Relationship Id="rId136" Type="http://schemas.openxmlformats.org/officeDocument/2006/relationships/hyperlink" Target="https://leetcode.com/problems/guess-number-higher-or-lower/" TargetMode="External"/><Relationship Id="rId178" Type="http://schemas.openxmlformats.org/officeDocument/2006/relationships/hyperlink" Target="https://leetcode.com/problems/maximum-depth-of-binary-tree/" TargetMode="External"/><Relationship Id="rId301" Type="http://schemas.openxmlformats.org/officeDocument/2006/relationships/hyperlink" Target="https://neetcode.io/problems/course-schedule-ii?list=neetcode250" TargetMode="External"/><Relationship Id="rId343" Type="http://schemas.openxmlformats.org/officeDocument/2006/relationships/hyperlink" Target="https://neetcode.io/problems/build-a-matrix-with-conditions?list=neetcode250" TargetMode="External"/><Relationship Id="rId82" Type="http://schemas.openxmlformats.org/officeDocument/2006/relationships/hyperlink" Target="https://leetcode.com/problems/sliding-window-maximum/" TargetMode="External"/><Relationship Id="rId203" Type="http://schemas.openxmlformats.org/officeDocument/2006/relationships/hyperlink" Target="https://neetcode.io/problems/serialize-and-deserialize-binary-tree?list=neetcode250" TargetMode="External"/><Relationship Id="rId385" Type="http://schemas.openxmlformats.org/officeDocument/2006/relationships/hyperlink" Target="https://neetcode.io/problems/buy-and-sell-crypto-with-cooldown?list=neetcode250" TargetMode="External"/><Relationship Id="rId245" Type="http://schemas.openxmlformats.org/officeDocument/2006/relationships/hyperlink" Target="https://neetcode.io/problems/implement-prefix-tree?list=neetcode250" TargetMode="External"/><Relationship Id="rId287" Type="http://schemas.openxmlformats.org/officeDocument/2006/relationships/hyperlink" Target="https://neetcode.io/problems/max-area-of-island?list=neetcode250" TargetMode="External"/><Relationship Id="rId410" Type="http://schemas.openxmlformats.org/officeDocument/2006/relationships/hyperlink" Target="https://leetcode.com/problems/stone-game/" TargetMode="External"/><Relationship Id="rId452" Type="http://schemas.openxmlformats.org/officeDocument/2006/relationships/hyperlink" Target="https://leetcode.com/problems/minimum-interval-to-include-each-query/" TargetMode="External"/><Relationship Id="rId494" Type="http://schemas.openxmlformats.org/officeDocument/2006/relationships/hyperlink" Target="https://leetcode.com/problems/reverse-integer/" TargetMode="External"/><Relationship Id="rId105" Type="http://schemas.openxmlformats.org/officeDocument/2006/relationships/hyperlink" Target="https://neetcode.io/problems/implement-stack-using-queues?list=neetcode250" TargetMode="External"/><Relationship Id="rId147" Type="http://schemas.openxmlformats.org/officeDocument/2006/relationships/hyperlink" Target="https://neetcode.io/problems/reverse-a-linked-list?list=neetcode250" TargetMode="External"/><Relationship Id="rId312" Type="http://schemas.openxmlformats.org/officeDocument/2006/relationships/hyperlink" Target="https://leetcode.com/problems/island-perimeter/" TargetMode="External"/><Relationship Id="rId354" Type="http://schemas.openxmlformats.org/officeDocument/2006/relationships/hyperlink" Target="https://leetcode.com/problems/house-robber-ii/" TargetMode="External"/><Relationship Id="rId51" Type="http://schemas.openxmlformats.org/officeDocument/2006/relationships/hyperlink" Target="https://neetcode.io/problems/max-water-container?list=neetcode250" TargetMode="External"/><Relationship Id="rId93" Type="http://schemas.openxmlformats.org/officeDocument/2006/relationships/hyperlink" Target="https://neetcode.io/problems/evaluate-reverse-polish-notation?list=neetcode250" TargetMode="External"/><Relationship Id="rId189" Type="http://schemas.openxmlformats.org/officeDocument/2006/relationships/hyperlink" Target="https://neetcode.io/problems/level-order-traversal-of-binary-tree?list=neetcode250" TargetMode="External"/><Relationship Id="rId396" Type="http://schemas.openxmlformats.org/officeDocument/2006/relationships/hyperlink" Target="https://leetcode.com/problems/distinct-subsequences/" TargetMode="External"/><Relationship Id="rId214" Type="http://schemas.openxmlformats.org/officeDocument/2006/relationships/hyperlink" Target="https://leetcode.com/problems/delete-node-in-a-bst/" TargetMode="External"/><Relationship Id="rId256" Type="http://schemas.openxmlformats.org/officeDocument/2006/relationships/hyperlink" Target="https://leetcode.com/problems/combination-sum/" TargetMode="External"/><Relationship Id="rId298" Type="http://schemas.openxmlformats.org/officeDocument/2006/relationships/hyperlink" Target="https://leetcode.com/problems/surrounded-regions/" TargetMode="External"/><Relationship Id="rId421" Type="http://schemas.openxmlformats.org/officeDocument/2006/relationships/hyperlink" Target="https://neetcode.io/problems/hand-of-straights?list=neetcode250" TargetMode="External"/><Relationship Id="rId463" Type="http://schemas.openxmlformats.org/officeDocument/2006/relationships/hyperlink" Target="https://neetcode.io/problems/plus-one?list=neetcode250" TargetMode="External"/><Relationship Id="rId116" Type="http://schemas.openxmlformats.org/officeDocument/2006/relationships/hyperlink" Target="https://leetcode.com/problems/decode-string/" TargetMode="External"/><Relationship Id="rId158" Type="http://schemas.openxmlformats.org/officeDocument/2006/relationships/hyperlink" Target="https://leetcode.com/problems/copy-list-with-random-pointer/" TargetMode="External"/><Relationship Id="rId323" Type="http://schemas.openxmlformats.org/officeDocument/2006/relationships/hyperlink" Target="https://neetcode.io/problems/evaluate-division?list=neetcode250" TargetMode="External"/><Relationship Id="rId20" Type="http://schemas.openxmlformats.org/officeDocument/2006/relationships/hyperlink" Target="https://leetcode.com/problems/concatenation-of-array/" TargetMode="External"/><Relationship Id="rId62" Type="http://schemas.openxmlformats.org/officeDocument/2006/relationships/hyperlink" Target="https://leetcode.com/problems/merge-sorted-array/" TargetMode="External"/><Relationship Id="rId365" Type="http://schemas.openxmlformats.org/officeDocument/2006/relationships/hyperlink" Target="https://neetcode.io/problems/word-break?list=neetcode250" TargetMode="External"/><Relationship Id="rId225" Type="http://schemas.openxmlformats.org/officeDocument/2006/relationships/hyperlink" Target="https://neetcode.io/problems/k-closest-points-to-origin?list=neetcode250" TargetMode="External"/><Relationship Id="rId267" Type="http://schemas.openxmlformats.org/officeDocument/2006/relationships/hyperlink" Target="https://neetcode.io/problems/combinations-of-a-phone-number?list=neetcode250" TargetMode="External"/><Relationship Id="rId432" Type="http://schemas.openxmlformats.org/officeDocument/2006/relationships/hyperlink" Target="https://leetcode.com/problems/maximum-sum-circular-subarray/" TargetMode="External"/><Relationship Id="rId474" Type="http://schemas.openxmlformats.org/officeDocument/2006/relationships/hyperlink" Target="https://leetcode.com/problems/greatest-common-divisor-of-strings/" TargetMode="External"/><Relationship Id="rId106" Type="http://schemas.openxmlformats.org/officeDocument/2006/relationships/hyperlink" Target="https://leetcode.com/problems/implement-stack-using-queues/" TargetMode="External"/><Relationship Id="rId127" Type="http://schemas.openxmlformats.org/officeDocument/2006/relationships/hyperlink" Target="https://neetcode.io/problems/find-target-in-rotated-sorted-array?list=neetcode250" TargetMode="External"/><Relationship Id="rId313" Type="http://schemas.openxmlformats.org/officeDocument/2006/relationships/hyperlink" Target="https://neetcode.io/problems/verifying-an-alien-dictionary?list=neetcode250" TargetMode="External"/><Relationship Id="rId495" Type="http://schemas.openxmlformats.org/officeDocument/2006/relationships/hyperlink" Target="https://neetcode.io/problems/add-binary?list=neetcode250" TargetMode="External"/><Relationship Id="rId10" Type="http://schemas.openxmlformats.org/officeDocument/2006/relationships/hyperlink" Target="https://leetcode.com/problems/top-k-frequent-elements/" TargetMode="External"/><Relationship Id="rId31" Type="http://schemas.openxmlformats.org/officeDocument/2006/relationships/hyperlink" Target="https://neetcode.io/problems/sort-an-array?list=neetcode250" TargetMode="External"/><Relationship Id="rId52" Type="http://schemas.openxmlformats.org/officeDocument/2006/relationships/hyperlink" Target="https://leetcode.com/problems/container-with-most-water/" TargetMode="External"/><Relationship Id="rId73" Type="http://schemas.openxmlformats.org/officeDocument/2006/relationships/hyperlink" Target="https://neetcode.io/problems/longest-substring-without-duplicates?list=neetcode250" TargetMode="External"/><Relationship Id="rId94" Type="http://schemas.openxmlformats.org/officeDocument/2006/relationships/hyperlink" Target="https://leetcode.com/problems/evaluate-reverse-polish-notation/" TargetMode="External"/><Relationship Id="rId148" Type="http://schemas.openxmlformats.org/officeDocument/2006/relationships/hyperlink" Target="https://leetcode.com/problems/reverse-linked-list/" TargetMode="External"/><Relationship Id="rId169" Type="http://schemas.openxmlformats.org/officeDocument/2006/relationships/hyperlink" Target="https://neetcode.io/problems/reverse-linked-list-ii?list=neetcode250" TargetMode="External"/><Relationship Id="rId334" Type="http://schemas.openxmlformats.org/officeDocument/2006/relationships/hyperlink" Target="https://leetcode.com/problems/swim-in-rising-water/" TargetMode="External"/><Relationship Id="rId355" Type="http://schemas.openxmlformats.org/officeDocument/2006/relationships/hyperlink" Target="https://neetcode.io/problems/longest-palindromic-substring?list=neetcode250" TargetMode="External"/><Relationship Id="rId376" Type="http://schemas.openxmlformats.org/officeDocument/2006/relationships/hyperlink" Target="https://leetcode.com/problems/perfect-squares/" TargetMode="External"/><Relationship Id="rId397" Type="http://schemas.openxmlformats.org/officeDocument/2006/relationships/hyperlink" Target="https://neetcode.io/problems/edit-distance?list=neetcode250" TargetMode="External"/><Relationship Id="rId4" Type="http://schemas.openxmlformats.org/officeDocument/2006/relationships/hyperlink" Target="https://leetcode.com/problems/valid-anagram/" TargetMode="External"/><Relationship Id="rId180" Type="http://schemas.openxmlformats.org/officeDocument/2006/relationships/hyperlink" Target="https://leetcode.com/problems/diameter-of-binary-tree/" TargetMode="External"/><Relationship Id="rId215" Type="http://schemas.openxmlformats.org/officeDocument/2006/relationships/hyperlink" Target="https://neetcode.io/problems/construct-quad-tree?list=neetcode250" TargetMode="External"/><Relationship Id="rId236" Type="http://schemas.openxmlformats.org/officeDocument/2006/relationships/hyperlink" Target="https://leetcode.com/problems/single-threaded-cpu/" TargetMode="External"/><Relationship Id="rId257" Type="http://schemas.openxmlformats.org/officeDocument/2006/relationships/hyperlink" Target="https://neetcode.io/problems/combination-target-sum-ii?list=neetcode250" TargetMode="External"/><Relationship Id="rId278" Type="http://schemas.openxmlformats.org/officeDocument/2006/relationships/hyperlink" Target="https://leetcode.com/problems/matchsticks-to-square/" TargetMode="External"/><Relationship Id="rId401" Type="http://schemas.openxmlformats.org/officeDocument/2006/relationships/hyperlink" Target="https://neetcode.io/problems/regular-expression-matching?list=neetcode250" TargetMode="External"/><Relationship Id="rId422" Type="http://schemas.openxmlformats.org/officeDocument/2006/relationships/hyperlink" Target="https://leetcode.com/problems/hand-of-straights/" TargetMode="External"/><Relationship Id="rId443" Type="http://schemas.openxmlformats.org/officeDocument/2006/relationships/hyperlink" Target="https://neetcode.io/problems/merge-intervals?list=neetcode250" TargetMode="External"/><Relationship Id="rId464" Type="http://schemas.openxmlformats.org/officeDocument/2006/relationships/hyperlink" Target="https://leetcode.com/problems/plus-one/" TargetMode="External"/><Relationship Id="rId303" Type="http://schemas.openxmlformats.org/officeDocument/2006/relationships/hyperlink" Target="https://neetcode.io/problems/valid-tree?list=neetcode250" TargetMode="External"/><Relationship Id="rId485" Type="http://schemas.openxmlformats.org/officeDocument/2006/relationships/hyperlink" Target="https://neetcode.io/problems/counting-bits?list=neetcode250" TargetMode="External"/><Relationship Id="rId42" Type="http://schemas.openxmlformats.org/officeDocument/2006/relationships/hyperlink" Target="https://leetcode.com/problems/subarray-sum-equals-k/" TargetMode="External"/><Relationship Id="rId84" Type="http://schemas.openxmlformats.org/officeDocument/2006/relationships/hyperlink" Target="https://leetcode.com/problems/contains-duplicate-ii/" TargetMode="External"/><Relationship Id="rId138" Type="http://schemas.openxmlformats.org/officeDocument/2006/relationships/hyperlink" Target="https://leetcode.com/problems/sqrtx/" TargetMode="External"/><Relationship Id="rId345" Type="http://schemas.openxmlformats.org/officeDocument/2006/relationships/hyperlink" Target="https://neetcode.io/problems/greatest-common-divisor-traversal?list=neetcode250" TargetMode="External"/><Relationship Id="rId387" Type="http://schemas.openxmlformats.org/officeDocument/2006/relationships/hyperlink" Target="https://neetcode.io/problems/coin-change-ii?list=neetcode250" TargetMode="External"/><Relationship Id="rId191" Type="http://schemas.openxmlformats.org/officeDocument/2006/relationships/hyperlink" Target="https://neetcode.io/problems/binary-tree-right-side-view?list=neetcode250" TargetMode="External"/><Relationship Id="rId205" Type="http://schemas.openxmlformats.org/officeDocument/2006/relationships/hyperlink" Target="https://neetcode.io/problems/binary-tree-inorder-traversal?list=neetcode250" TargetMode="External"/><Relationship Id="rId247" Type="http://schemas.openxmlformats.org/officeDocument/2006/relationships/hyperlink" Target="https://neetcode.io/problems/design-word-search-data-structure?list=neetcode250" TargetMode="External"/><Relationship Id="rId412" Type="http://schemas.openxmlformats.org/officeDocument/2006/relationships/hyperlink" Target="https://leetcode.com/problems/stone-game-ii/" TargetMode="External"/><Relationship Id="rId107" Type="http://schemas.openxmlformats.org/officeDocument/2006/relationships/hyperlink" Target="https://neetcode.io/problems/implement-queue-using-stacks?list=neetcode250" TargetMode="External"/><Relationship Id="rId289" Type="http://schemas.openxmlformats.org/officeDocument/2006/relationships/hyperlink" Target="https://neetcode.io/problems/clone-graph?list=neetcode250" TargetMode="External"/><Relationship Id="rId454" Type="http://schemas.openxmlformats.org/officeDocument/2006/relationships/hyperlink" Target="https://leetcode.com/problems/meeting-rooms-iii" TargetMode="External"/><Relationship Id="rId496" Type="http://schemas.openxmlformats.org/officeDocument/2006/relationships/hyperlink" Target="https://leetcode.com/problems/add-binary/" TargetMode="External"/><Relationship Id="rId11" Type="http://schemas.openxmlformats.org/officeDocument/2006/relationships/hyperlink" Target="https://neetcode.io/problems/string-encode-and-decode?list=neetcode250" TargetMode="External"/><Relationship Id="rId53" Type="http://schemas.openxmlformats.org/officeDocument/2006/relationships/hyperlink" Target="https://neetcode.io/problems/trapping-rain-water?list=neetcode250" TargetMode="External"/><Relationship Id="rId149" Type="http://schemas.openxmlformats.org/officeDocument/2006/relationships/hyperlink" Target="https://neetcode.io/problems/merge-two-sorted-linked-lists?list=neetcode250" TargetMode="External"/><Relationship Id="rId314" Type="http://schemas.openxmlformats.org/officeDocument/2006/relationships/hyperlink" Target="https://leetcode.com/problems/verifying-an-alien-dictionary/" TargetMode="External"/><Relationship Id="rId356" Type="http://schemas.openxmlformats.org/officeDocument/2006/relationships/hyperlink" Target="https://leetcode.com/problems/longest-palindromic-substring/" TargetMode="External"/><Relationship Id="rId398" Type="http://schemas.openxmlformats.org/officeDocument/2006/relationships/hyperlink" Target="https://leetcode.com/problems/edit-distance/" TargetMode="External"/><Relationship Id="rId95" Type="http://schemas.openxmlformats.org/officeDocument/2006/relationships/hyperlink" Target="https://neetcode.io/problems/generate-parentheses?list=neetcode250" TargetMode="External"/><Relationship Id="rId160" Type="http://schemas.openxmlformats.org/officeDocument/2006/relationships/hyperlink" Target="https://leetcode.com/problems/add-two-numbers/" TargetMode="External"/><Relationship Id="rId216" Type="http://schemas.openxmlformats.org/officeDocument/2006/relationships/hyperlink" Target="https://leetcode.com/problems/construct-quad-tree/" TargetMode="External"/><Relationship Id="rId423" Type="http://schemas.openxmlformats.org/officeDocument/2006/relationships/hyperlink" Target="https://neetcode.io/problems/merge-triplets-to-form-target?list=neetcode250" TargetMode="External"/><Relationship Id="rId258" Type="http://schemas.openxmlformats.org/officeDocument/2006/relationships/hyperlink" Target="https://leetcode.com/problems/combination-sum-ii/" TargetMode="External"/><Relationship Id="rId465" Type="http://schemas.openxmlformats.org/officeDocument/2006/relationships/hyperlink" Target="https://neetcode.io/problems/pow-x-n?list=neetcode250" TargetMode="External"/><Relationship Id="rId22" Type="http://schemas.openxmlformats.org/officeDocument/2006/relationships/hyperlink" Target="https://leetcode.com/problems/longest-common-prefix/" TargetMode="External"/><Relationship Id="rId64" Type="http://schemas.openxmlformats.org/officeDocument/2006/relationships/hyperlink" Target="https://leetcode.com/problems/remove-duplicates-from-sorted-array/" TargetMode="External"/><Relationship Id="rId118" Type="http://schemas.openxmlformats.org/officeDocument/2006/relationships/hyperlink" Target="https://leetcode.com/problems/maximum-frequency-stack/" TargetMode="External"/><Relationship Id="rId325" Type="http://schemas.openxmlformats.org/officeDocument/2006/relationships/hyperlink" Target="https://neetcode.io/problems/minimum-height-trees?list=neetcode250" TargetMode="External"/><Relationship Id="rId367" Type="http://schemas.openxmlformats.org/officeDocument/2006/relationships/hyperlink" Target="https://neetcode.io/problems/longest-increasing-subsequence?list=neetcode250" TargetMode="External"/><Relationship Id="rId171" Type="http://schemas.openxmlformats.org/officeDocument/2006/relationships/hyperlink" Target="https://neetcode.io/problems/design-circular-queue?list=neetcode250" TargetMode="External"/><Relationship Id="rId227" Type="http://schemas.openxmlformats.org/officeDocument/2006/relationships/hyperlink" Target="https://neetcode.io/problems/kth-largest-element-in-an-array?list=neetcode250" TargetMode="External"/><Relationship Id="rId269" Type="http://schemas.openxmlformats.org/officeDocument/2006/relationships/hyperlink" Target="https://neetcode.io/problems/n-queens?list=neetcode250" TargetMode="External"/><Relationship Id="rId434" Type="http://schemas.openxmlformats.org/officeDocument/2006/relationships/hyperlink" Target="https://leetcode.com/problems/longest-turbulent-subarray/" TargetMode="External"/><Relationship Id="rId476" Type="http://schemas.openxmlformats.org/officeDocument/2006/relationships/hyperlink" Target="https://leetcode.com/problems/insert-greatest-common-divisors-in-linked-list/" TargetMode="External"/><Relationship Id="rId33" Type="http://schemas.openxmlformats.org/officeDocument/2006/relationships/hyperlink" Target="https://neetcode.io/problems/sort-colors?list=neetcode250" TargetMode="External"/><Relationship Id="rId129" Type="http://schemas.openxmlformats.org/officeDocument/2006/relationships/hyperlink" Target="https://neetcode.io/problems/time-based-key-value-store?list=neetcode250" TargetMode="External"/><Relationship Id="rId280" Type="http://schemas.openxmlformats.org/officeDocument/2006/relationships/hyperlink" Target="https://leetcode.com/problems/partition-to-k-equal-sum-subsets/" TargetMode="External"/><Relationship Id="rId336" Type="http://schemas.openxmlformats.org/officeDocument/2006/relationships/hyperlink" Target="https://leetcode.com/problems/alien-dictionary/" TargetMode="External"/><Relationship Id="rId75" Type="http://schemas.openxmlformats.org/officeDocument/2006/relationships/hyperlink" Target="https://neetcode.io/problems/longest-repeating-substring-with-replacement?list=neetcode250" TargetMode="External"/><Relationship Id="rId140" Type="http://schemas.openxmlformats.org/officeDocument/2006/relationships/hyperlink" Target="https://leetcode.com/problems/capacity-to-ship-packages-within-d-days/" TargetMode="External"/><Relationship Id="rId182" Type="http://schemas.openxmlformats.org/officeDocument/2006/relationships/hyperlink" Target="https://leetcode.com/problems/balanced-binary-tree/" TargetMode="External"/><Relationship Id="rId378" Type="http://schemas.openxmlformats.org/officeDocument/2006/relationships/hyperlink" Target="https://leetcode.com/problems/integer-break/" TargetMode="External"/><Relationship Id="rId403" Type="http://schemas.openxmlformats.org/officeDocument/2006/relationships/hyperlink" Target="https://neetcode.io/problems/unique-paths-ii?list=neetcode250" TargetMode="External"/><Relationship Id="rId6" Type="http://schemas.openxmlformats.org/officeDocument/2006/relationships/hyperlink" Target="https://leetcode.com/problems/two-sum/" TargetMode="External"/><Relationship Id="rId238" Type="http://schemas.openxmlformats.org/officeDocument/2006/relationships/hyperlink" Target="https://leetcode.com/problems/reorganize-string/" TargetMode="External"/><Relationship Id="rId445" Type="http://schemas.openxmlformats.org/officeDocument/2006/relationships/hyperlink" Target="https://neetcode.io/problems/non-overlapping-intervals?list=neetcode250" TargetMode="External"/><Relationship Id="rId487" Type="http://schemas.openxmlformats.org/officeDocument/2006/relationships/hyperlink" Target="https://neetcode.io/problems/reverse-bits?list=neetcode250" TargetMode="External"/><Relationship Id="rId291" Type="http://schemas.openxmlformats.org/officeDocument/2006/relationships/hyperlink" Target="https://neetcode.io/problems/islands-and-treasure?list=neetcode250" TargetMode="External"/><Relationship Id="rId305" Type="http://schemas.openxmlformats.org/officeDocument/2006/relationships/hyperlink" Target="https://neetcode.io/problems/count-connected-components?list=neetcode250" TargetMode="External"/><Relationship Id="rId347" Type="http://schemas.openxmlformats.org/officeDocument/2006/relationships/hyperlink" Target="https://neetcode.io/problems/climbing-stairs?list=neetcode250" TargetMode="External"/><Relationship Id="rId44" Type="http://schemas.openxmlformats.org/officeDocument/2006/relationships/hyperlink" Target="https://leetcode.com/problems/first-missing-positive/" TargetMode="External"/><Relationship Id="rId86" Type="http://schemas.openxmlformats.org/officeDocument/2006/relationships/hyperlink" Target="https://leetcode.com/problems/minimum-size-subarray-sum/" TargetMode="External"/><Relationship Id="rId151" Type="http://schemas.openxmlformats.org/officeDocument/2006/relationships/hyperlink" Target="https://neetcode.io/problems/linked-list-cycle-detection?list=neetcode250" TargetMode="External"/><Relationship Id="rId389" Type="http://schemas.openxmlformats.org/officeDocument/2006/relationships/hyperlink" Target="https://neetcode.io/problems/target-sum?list=neetcode250" TargetMode="External"/><Relationship Id="rId193" Type="http://schemas.openxmlformats.org/officeDocument/2006/relationships/hyperlink" Target="https://neetcode.io/problems/count-good-nodes-in-binary-tree?list=neetcode250" TargetMode="External"/><Relationship Id="rId207" Type="http://schemas.openxmlformats.org/officeDocument/2006/relationships/hyperlink" Target="https://neetcode.io/problems/binary-tree-preorder-traversal?list=neetcode250" TargetMode="External"/><Relationship Id="rId249" Type="http://schemas.openxmlformats.org/officeDocument/2006/relationships/hyperlink" Target="https://neetcode.io/problems/search-for-word-ii?list=neetcode250" TargetMode="External"/><Relationship Id="rId414" Type="http://schemas.openxmlformats.org/officeDocument/2006/relationships/hyperlink" Target="https://leetcode.com/problems/maximum-subarray/" TargetMode="External"/><Relationship Id="rId456" Type="http://schemas.openxmlformats.org/officeDocument/2006/relationships/hyperlink" Target="https://leetcode.com/problems/rotate-image/" TargetMode="External"/><Relationship Id="rId498" Type="http://schemas.openxmlformats.org/officeDocument/2006/relationships/hyperlink" Target="https://leetcode.com/problems/bitwise-and-of-numbers-range" TargetMode="External"/><Relationship Id="rId13" Type="http://schemas.openxmlformats.org/officeDocument/2006/relationships/hyperlink" Target="https://neetcode.io/problems/products-of-array-discluding-self?list=neetcode250" TargetMode="External"/><Relationship Id="rId109" Type="http://schemas.openxmlformats.org/officeDocument/2006/relationships/hyperlink" Target="https://neetcode.io/problems/asteroid-collision?list=neetcode250" TargetMode="External"/><Relationship Id="rId260" Type="http://schemas.openxmlformats.org/officeDocument/2006/relationships/hyperlink" Target="https://leetcode.com/problems/permutations/" TargetMode="External"/><Relationship Id="rId316" Type="http://schemas.openxmlformats.org/officeDocument/2006/relationships/hyperlink" Target="https://leetcode.com/problems/find-the-town-judge" TargetMode="External"/><Relationship Id="rId55" Type="http://schemas.openxmlformats.org/officeDocument/2006/relationships/hyperlink" Target="https://neetcode.io/problems/reverse-string?list=neetcode250" TargetMode="External"/><Relationship Id="rId97" Type="http://schemas.openxmlformats.org/officeDocument/2006/relationships/hyperlink" Target="https://neetcode.io/problems/daily-temperatures?list=neetcode250" TargetMode="External"/><Relationship Id="rId120" Type="http://schemas.openxmlformats.org/officeDocument/2006/relationships/hyperlink" Target="https://leetcode.com/problems/binary-search/" TargetMode="External"/><Relationship Id="rId358" Type="http://schemas.openxmlformats.org/officeDocument/2006/relationships/hyperlink" Target="https://leetcode.com/problems/palindromic-substrings/" TargetMode="External"/><Relationship Id="rId162" Type="http://schemas.openxmlformats.org/officeDocument/2006/relationships/hyperlink" Target="https://leetcode.com/problems/find-the-duplicate-number/" TargetMode="External"/><Relationship Id="rId218" Type="http://schemas.openxmlformats.org/officeDocument/2006/relationships/hyperlink" Target="https://leetcode.com/problems/house-robber-iii/" TargetMode="External"/><Relationship Id="rId425" Type="http://schemas.openxmlformats.org/officeDocument/2006/relationships/hyperlink" Target="https://neetcode.io/problems/partition-labels?list=neetcode250" TargetMode="External"/><Relationship Id="rId467" Type="http://schemas.openxmlformats.org/officeDocument/2006/relationships/hyperlink" Target="https://neetcode.io/problems/multiply-strings?list=neetcode250" TargetMode="External"/><Relationship Id="rId271" Type="http://schemas.openxmlformats.org/officeDocument/2006/relationships/hyperlink" Target="https://neetcode.io/problems/sum-of-all-subset-xor-totals?list=neetcode250" TargetMode="External"/><Relationship Id="rId24" Type="http://schemas.openxmlformats.org/officeDocument/2006/relationships/hyperlink" Target="https://leetcode.com/problems/remove-element/" TargetMode="External"/><Relationship Id="rId66" Type="http://schemas.openxmlformats.org/officeDocument/2006/relationships/hyperlink" Target="https://leetcode.com/problems/4sum/" TargetMode="External"/><Relationship Id="rId131" Type="http://schemas.openxmlformats.org/officeDocument/2006/relationships/hyperlink" Target="https://neetcode.io/problems/median-of-two-sorted-arrays?list=neetcode250" TargetMode="External"/><Relationship Id="rId327" Type="http://schemas.openxmlformats.org/officeDocument/2006/relationships/hyperlink" Target="https://neetcode.io/problems/network-delay-time?list=neetcode250" TargetMode="External"/><Relationship Id="rId369" Type="http://schemas.openxmlformats.org/officeDocument/2006/relationships/hyperlink" Target="https://neetcode.io/problems/partition-equal-subset-sum?list=neetcode250" TargetMode="External"/><Relationship Id="rId173" Type="http://schemas.openxmlformats.org/officeDocument/2006/relationships/hyperlink" Target="https://neetcode.io/problems/lfu-cache?list=neetcode250" TargetMode="External"/><Relationship Id="rId229" Type="http://schemas.openxmlformats.org/officeDocument/2006/relationships/hyperlink" Target="https://neetcode.io/problems/task-scheduling?list=neetcode250" TargetMode="External"/><Relationship Id="rId380" Type="http://schemas.openxmlformats.org/officeDocument/2006/relationships/hyperlink" Target="https://leetcode.com/problems/stone-game-iii/" TargetMode="External"/><Relationship Id="rId436" Type="http://schemas.openxmlformats.org/officeDocument/2006/relationships/hyperlink" Target="https://leetcode.com/problems/jump-game-vii/" TargetMode="External"/><Relationship Id="rId240" Type="http://schemas.openxmlformats.org/officeDocument/2006/relationships/hyperlink" Target="https://leetcode.com/problems/longest-happy-string/" TargetMode="External"/><Relationship Id="rId478" Type="http://schemas.openxmlformats.org/officeDocument/2006/relationships/hyperlink" Target="https://leetcode.com/problems/transpose-matrix" TargetMode="External"/><Relationship Id="rId35" Type="http://schemas.openxmlformats.org/officeDocument/2006/relationships/hyperlink" Target="https://neetcode.io/problems/range-sum-query-2d-immutable?list=neetcode250" TargetMode="External"/><Relationship Id="rId77" Type="http://schemas.openxmlformats.org/officeDocument/2006/relationships/hyperlink" Target="https://neetcode.io/problems/permutation-string?list=neetcode250" TargetMode="External"/><Relationship Id="rId100" Type="http://schemas.openxmlformats.org/officeDocument/2006/relationships/hyperlink" Target="https://leetcode.com/problems/car-fleet/" TargetMode="External"/><Relationship Id="rId282" Type="http://schemas.openxmlformats.org/officeDocument/2006/relationships/hyperlink" Target="https://leetcode.com/problems/n-queens-ii/" TargetMode="External"/><Relationship Id="rId338" Type="http://schemas.openxmlformats.org/officeDocument/2006/relationships/hyperlink" Target="https://leetcode.com/problems/cheapest-flights-within-k-stops/" TargetMode="External"/><Relationship Id="rId8" Type="http://schemas.openxmlformats.org/officeDocument/2006/relationships/hyperlink" Target="https://leetcode.com/problems/group-anagrams/" TargetMode="External"/><Relationship Id="rId142" Type="http://schemas.openxmlformats.org/officeDocument/2006/relationships/hyperlink" Target="https://leetcode.com/problems/search-in-rotated-sorted-array-ii/" TargetMode="External"/><Relationship Id="rId184" Type="http://schemas.openxmlformats.org/officeDocument/2006/relationships/hyperlink" Target="https://leetcode.com/problems/same-tree/" TargetMode="External"/><Relationship Id="rId391" Type="http://schemas.openxmlformats.org/officeDocument/2006/relationships/hyperlink" Target="https://neetcode.io/problems/interleaving-string?list=neetcode250" TargetMode="External"/><Relationship Id="rId405" Type="http://schemas.openxmlformats.org/officeDocument/2006/relationships/hyperlink" Target="https://neetcode.io/problems/minimum-path-sum?list=neetcode250" TargetMode="External"/><Relationship Id="rId447" Type="http://schemas.openxmlformats.org/officeDocument/2006/relationships/hyperlink" Target="https://neetcode.io/problems/meeting-schedule?list=neetcode250" TargetMode="External"/><Relationship Id="rId251" Type="http://schemas.openxmlformats.org/officeDocument/2006/relationships/hyperlink" Target="https://neetcode.io/problems/extra-characters-in-a-string?list=neetcode250" TargetMode="External"/><Relationship Id="rId489" Type="http://schemas.openxmlformats.org/officeDocument/2006/relationships/hyperlink" Target="https://neetcode.io/problems/missing-number?list=neetcode250" TargetMode="External"/><Relationship Id="rId46" Type="http://schemas.openxmlformats.org/officeDocument/2006/relationships/hyperlink" Target="https://leetcode.com/problems/valid-palindrome/" TargetMode="External"/><Relationship Id="rId293" Type="http://schemas.openxmlformats.org/officeDocument/2006/relationships/hyperlink" Target="https://neetcode.io/problems/rotting-fruit?list=neetcode250" TargetMode="External"/><Relationship Id="rId307" Type="http://schemas.openxmlformats.org/officeDocument/2006/relationships/hyperlink" Target="https://neetcode.io/problems/redundant-connection?list=neetcode250" TargetMode="External"/><Relationship Id="rId349" Type="http://schemas.openxmlformats.org/officeDocument/2006/relationships/hyperlink" Target="https://neetcode.io/problems/min-cost-climbing-stairs?list=neetcode250" TargetMode="External"/><Relationship Id="rId88" Type="http://schemas.openxmlformats.org/officeDocument/2006/relationships/hyperlink" Target="https://leetcode.com/problems/find-k-closest-elements/" TargetMode="External"/><Relationship Id="rId111" Type="http://schemas.openxmlformats.org/officeDocument/2006/relationships/hyperlink" Target="https://neetcode.io/problems/online-stock-span?list=neetcode250" TargetMode="External"/><Relationship Id="rId153" Type="http://schemas.openxmlformats.org/officeDocument/2006/relationships/hyperlink" Target="https://neetcode.io/problems/reorder-linked-list?list=neetcode250" TargetMode="External"/><Relationship Id="rId195" Type="http://schemas.openxmlformats.org/officeDocument/2006/relationships/hyperlink" Target="https://neetcode.io/problems/valid-binary-search-tree?list=neetcode250" TargetMode="External"/><Relationship Id="rId209" Type="http://schemas.openxmlformats.org/officeDocument/2006/relationships/hyperlink" Target="https://neetcode.io/problems/binary-tree-postorder-traversal?list=neetcode250" TargetMode="External"/><Relationship Id="rId360" Type="http://schemas.openxmlformats.org/officeDocument/2006/relationships/hyperlink" Target="https://leetcode.com/problems/decode-ways/" TargetMode="External"/><Relationship Id="rId416" Type="http://schemas.openxmlformats.org/officeDocument/2006/relationships/hyperlink" Target="https://leetcode.com/problems/jump-game/" TargetMode="External"/><Relationship Id="rId220" Type="http://schemas.openxmlformats.org/officeDocument/2006/relationships/hyperlink" Target="https://leetcode.com/problems/delete-leaves-with-a-given-value" TargetMode="External"/><Relationship Id="rId458" Type="http://schemas.openxmlformats.org/officeDocument/2006/relationships/hyperlink" Target="https://leetcode.com/problems/spiral-matrix/" TargetMode="External"/><Relationship Id="rId15" Type="http://schemas.openxmlformats.org/officeDocument/2006/relationships/hyperlink" Target="https://neetcode.io/problems/valid-sudoku?list=neetcode250" TargetMode="External"/><Relationship Id="rId57" Type="http://schemas.openxmlformats.org/officeDocument/2006/relationships/hyperlink" Target="https://neetcode.io/problems/valid-palindrome-ii?list=neetcode250" TargetMode="External"/><Relationship Id="rId262" Type="http://schemas.openxmlformats.org/officeDocument/2006/relationships/hyperlink" Target="https://leetcode.com/problems/subsets-ii/" TargetMode="External"/><Relationship Id="rId318" Type="http://schemas.openxmlformats.org/officeDocument/2006/relationships/hyperlink" Target="https://leetcode.com/problems/open-the-lock/" TargetMode="External"/><Relationship Id="rId99" Type="http://schemas.openxmlformats.org/officeDocument/2006/relationships/hyperlink" Target="https://neetcode.io/problems/car-fleet?list=neetcode250" TargetMode="External"/><Relationship Id="rId122" Type="http://schemas.openxmlformats.org/officeDocument/2006/relationships/hyperlink" Target="https://leetcode.com/problems/search-a-2d-matrix/" TargetMode="External"/><Relationship Id="rId164" Type="http://schemas.openxmlformats.org/officeDocument/2006/relationships/hyperlink" Target="https://leetcode.com/problems/lru-cache/" TargetMode="External"/><Relationship Id="rId371" Type="http://schemas.openxmlformats.org/officeDocument/2006/relationships/hyperlink" Target="https://neetcode.io/problems/n-th-tribonacci-number?list=neetcode250" TargetMode="External"/><Relationship Id="rId427" Type="http://schemas.openxmlformats.org/officeDocument/2006/relationships/hyperlink" Target="https://neetcode.io/problems/valid-parenthesis-string?list=neetcode250" TargetMode="External"/><Relationship Id="rId469" Type="http://schemas.openxmlformats.org/officeDocument/2006/relationships/hyperlink" Target="https://neetcode.io/problems/count-squares?list=neetcode250" TargetMode="External"/><Relationship Id="rId26" Type="http://schemas.openxmlformats.org/officeDocument/2006/relationships/hyperlink" Target="https://leetcode.com/problems/majority-element/" TargetMode="External"/><Relationship Id="rId231" Type="http://schemas.openxmlformats.org/officeDocument/2006/relationships/hyperlink" Target="https://neetcode.io/problems/design-twitter-feed?list=neetcode250" TargetMode="External"/><Relationship Id="rId273" Type="http://schemas.openxmlformats.org/officeDocument/2006/relationships/hyperlink" Target="https://neetcode.io/problems/combinations?list=neetcode250" TargetMode="External"/><Relationship Id="rId329" Type="http://schemas.openxmlformats.org/officeDocument/2006/relationships/hyperlink" Target="https://neetcode.io/problems/reconstruct-flight-path?list=neetcode250" TargetMode="External"/><Relationship Id="rId480" Type="http://schemas.openxmlformats.org/officeDocument/2006/relationships/hyperlink" Target="https://leetcode.com/problems/roman-to-integer/" TargetMode="External"/><Relationship Id="rId68" Type="http://schemas.openxmlformats.org/officeDocument/2006/relationships/hyperlink" Target="https://leetcode.com/problems/rotate-array/" TargetMode="External"/><Relationship Id="rId133" Type="http://schemas.openxmlformats.org/officeDocument/2006/relationships/hyperlink" Target="https://neetcode.io/problems/search-insert-position?list=neetcode250" TargetMode="External"/><Relationship Id="rId175" Type="http://schemas.openxmlformats.org/officeDocument/2006/relationships/hyperlink" Target="https://neetcode.io/problems/invert-a-binary-tree?list=neetcode250" TargetMode="External"/><Relationship Id="rId340" Type="http://schemas.openxmlformats.org/officeDocument/2006/relationships/hyperlink" Target="https://leetcode.com/problems/path-with-minimum-effort/" TargetMode="External"/><Relationship Id="rId200" Type="http://schemas.openxmlformats.org/officeDocument/2006/relationships/hyperlink" Target="https://leetcode.com/problems/construct-binary-tree-from-preorder-and-inorder-traversal/" TargetMode="External"/><Relationship Id="rId382" Type="http://schemas.openxmlformats.org/officeDocument/2006/relationships/hyperlink" Target="https://leetcode.com/problems/unique-paths/" TargetMode="External"/><Relationship Id="rId438" Type="http://schemas.openxmlformats.org/officeDocument/2006/relationships/hyperlink" Target="https://leetcode.com/problems/dota2-senate/" TargetMode="External"/><Relationship Id="rId242" Type="http://schemas.openxmlformats.org/officeDocument/2006/relationships/hyperlink" Target="https://leetcode.com/problems/car-pooling/" TargetMode="External"/><Relationship Id="rId284" Type="http://schemas.openxmlformats.org/officeDocument/2006/relationships/hyperlink" Target="https://leetcode.com/problems/word-break-ii" TargetMode="External"/><Relationship Id="rId491" Type="http://schemas.openxmlformats.org/officeDocument/2006/relationships/hyperlink" Target="https://neetcode.io/problems/sum-of-two-integers?list=neetcode250" TargetMode="External"/><Relationship Id="rId37" Type="http://schemas.openxmlformats.org/officeDocument/2006/relationships/hyperlink" Target="https://neetcode.io/problems/best-time-to-buy-and-sell-stock-ii?list=neetcode250" TargetMode="External"/><Relationship Id="rId79" Type="http://schemas.openxmlformats.org/officeDocument/2006/relationships/hyperlink" Target="https://neetcode.io/problems/minimum-window-with-characters?list=neetcode250" TargetMode="External"/><Relationship Id="rId102" Type="http://schemas.openxmlformats.org/officeDocument/2006/relationships/hyperlink" Target="https://leetcode.com/problems/largest-rectangle-in-histogram/" TargetMode="External"/><Relationship Id="rId144" Type="http://schemas.openxmlformats.org/officeDocument/2006/relationships/hyperlink" Target="https://leetcode.com/problems/split-array-largest-sum/" TargetMode="External"/><Relationship Id="rId90" Type="http://schemas.openxmlformats.org/officeDocument/2006/relationships/hyperlink" Target="https://leetcode.com/problems/valid-parentheses/" TargetMode="External"/><Relationship Id="rId186" Type="http://schemas.openxmlformats.org/officeDocument/2006/relationships/hyperlink" Target="https://leetcode.com/problems/subtree-of-another-tree/" TargetMode="External"/><Relationship Id="rId351" Type="http://schemas.openxmlformats.org/officeDocument/2006/relationships/hyperlink" Target="https://neetcode.io/problems/house-robber?list=neetcode250" TargetMode="External"/><Relationship Id="rId393" Type="http://schemas.openxmlformats.org/officeDocument/2006/relationships/hyperlink" Target="https://neetcode.io/problems/longest-increasing-path-in-matrix?list=neetcode250" TargetMode="External"/><Relationship Id="rId407" Type="http://schemas.openxmlformats.org/officeDocument/2006/relationships/hyperlink" Target="https://neetcode.io/problems/last-stone-weight-ii?list=neetcode250" TargetMode="External"/><Relationship Id="rId449" Type="http://schemas.openxmlformats.org/officeDocument/2006/relationships/hyperlink" Target="https://neetcode.io/problems/meeting-schedule-ii?list=neetcode250" TargetMode="External"/><Relationship Id="rId211" Type="http://schemas.openxmlformats.org/officeDocument/2006/relationships/hyperlink" Target="https://neetcode.io/problems/insert-into-a-binary-search-tree?list=neetcode250" TargetMode="External"/><Relationship Id="rId253" Type="http://schemas.openxmlformats.org/officeDocument/2006/relationships/hyperlink" Target="https://neetcode.io/problems/subsets?list=neetcode250" TargetMode="External"/><Relationship Id="rId295" Type="http://schemas.openxmlformats.org/officeDocument/2006/relationships/hyperlink" Target="https://neetcode.io/problems/pacific-atlantic-water-flow?list=neetcode250" TargetMode="External"/><Relationship Id="rId309" Type="http://schemas.openxmlformats.org/officeDocument/2006/relationships/hyperlink" Target="https://neetcode.io/problems/word-ladder?list=neetcode250" TargetMode="External"/><Relationship Id="rId460" Type="http://schemas.openxmlformats.org/officeDocument/2006/relationships/hyperlink" Target="https://leetcode.com/problems/set-matrix-zeroes/" TargetMode="External"/><Relationship Id="rId48" Type="http://schemas.openxmlformats.org/officeDocument/2006/relationships/hyperlink" Target="https://leetcode.com/problems/two-sum-ii-input-array-is-sorted/" TargetMode="External"/><Relationship Id="rId113" Type="http://schemas.openxmlformats.org/officeDocument/2006/relationships/hyperlink" Target="https://neetcode.io/problems/simplify-path?list=neetcode250" TargetMode="External"/><Relationship Id="rId320" Type="http://schemas.openxmlformats.org/officeDocument/2006/relationships/hyperlink" Target="https://leetcode.com/problems/course-schedule-iv/" TargetMode="External"/><Relationship Id="rId155" Type="http://schemas.openxmlformats.org/officeDocument/2006/relationships/hyperlink" Target="https://neetcode.io/problems/remove-node-from-end-of-linked-list?list=neetcode250" TargetMode="External"/><Relationship Id="rId197" Type="http://schemas.openxmlformats.org/officeDocument/2006/relationships/hyperlink" Target="https://neetcode.io/problems/kth-smallest-integer-in-bst?list=neetcode250" TargetMode="External"/><Relationship Id="rId362" Type="http://schemas.openxmlformats.org/officeDocument/2006/relationships/hyperlink" Target="https://leetcode.com/problems/coin-change/" TargetMode="External"/><Relationship Id="rId418" Type="http://schemas.openxmlformats.org/officeDocument/2006/relationships/hyperlink" Target="https://leetcode.com/problems/jump-game-ii/" TargetMode="External"/><Relationship Id="rId222" Type="http://schemas.openxmlformats.org/officeDocument/2006/relationships/hyperlink" Target="https://leetcode.com/problems/kth-largest-element-in-a-stream/" TargetMode="External"/><Relationship Id="rId264" Type="http://schemas.openxmlformats.org/officeDocument/2006/relationships/hyperlink" Target="https://leetcode.com/problems/word-search/" TargetMode="External"/><Relationship Id="rId471" Type="http://schemas.openxmlformats.org/officeDocument/2006/relationships/hyperlink" Target="https://neetcode.io/problems/excel-sheet-column-title?list=neetcode250" TargetMode="External"/><Relationship Id="rId17" Type="http://schemas.openxmlformats.org/officeDocument/2006/relationships/hyperlink" Target="https://neetcode.io/problems/longest-consecutive-sequence?list=neetcode250" TargetMode="External"/><Relationship Id="rId59" Type="http://schemas.openxmlformats.org/officeDocument/2006/relationships/hyperlink" Target="https://neetcode.io/problems/merge-strings-alternately?list=neetcode250" TargetMode="External"/><Relationship Id="rId124" Type="http://schemas.openxmlformats.org/officeDocument/2006/relationships/hyperlink" Target="https://leetcode.com/problems/koko-eating-bananas/" TargetMode="External"/><Relationship Id="rId70" Type="http://schemas.openxmlformats.org/officeDocument/2006/relationships/hyperlink" Target="https://leetcode.com/problems/boats-to-save-people/" TargetMode="External"/><Relationship Id="rId166" Type="http://schemas.openxmlformats.org/officeDocument/2006/relationships/hyperlink" Target="https://leetcode.com/problems/merge-k-sorted-lists/" TargetMode="External"/><Relationship Id="rId331" Type="http://schemas.openxmlformats.org/officeDocument/2006/relationships/hyperlink" Target="https://neetcode.io/problems/min-cost-to-connect-points?list=neetcode250" TargetMode="External"/><Relationship Id="rId373" Type="http://schemas.openxmlformats.org/officeDocument/2006/relationships/hyperlink" Target="https://neetcode.io/problems/combination-sum-iv?list=neetcode250" TargetMode="External"/><Relationship Id="rId429" Type="http://schemas.openxmlformats.org/officeDocument/2006/relationships/hyperlink" Target="https://neetcode.io/problems/lemonade-change?list=neetcode250" TargetMode="External"/><Relationship Id="rId1" Type="http://schemas.openxmlformats.org/officeDocument/2006/relationships/hyperlink" Target="https://neetcode.io/problems/duplicate-integer?list=neetcode250" TargetMode="External"/><Relationship Id="rId233" Type="http://schemas.openxmlformats.org/officeDocument/2006/relationships/hyperlink" Target="https://neetcode.io/problems/find-median-in-a-data-stream?list=neetcode250" TargetMode="External"/><Relationship Id="rId440" Type="http://schemas.openxmlformats.org/officeDocument/2006/relationships/hyperlink" Target="https://leetcode.com/problems/candy/" TargetMode="External"/><Relationship Id="rId28" Type="http://schemas.openxmlformats.org/officeDocument/2006/relationships/hyperlink" Target="https://leetcode.com/problems/design-hashset/" TargetMode="External"/><Relationship Id="rId275" Type="http://schemas.openxmlformats.org/officeDocument/2006/relationships/hyperlink" Target="https://neetcode.io/problems/permutations-ii?list=neetcode250" TargetMode="External"/><Relationship Id="rId300" Type="http://schemas.openxmlformats.org/officeDocument/2006/relationships/hyperlink" Target="https://leetcode.com/problems/course-schedule/" TargetMode="External"/><Relationship Id="rId482" Type="http://schemas.openxmlformats.org/officeDocument/2006/relationships/hyperlink" Target="https://leetcode.com/problems/single-number/" TargetMode="External"/><Relationship Id="rId81" Type="http://schemas.openxmlformats.org/officeDocument/2006/relationships/hyperlink" Target="https://neetcode.io/problems/sliding-window-maximum?list=neetcode250" TargetMode="External"/><Relationship Id="rId135" Type="http://schemas.openxmlformats.org/officeDocument/2006/relationships/hyperlink" Target="https://neetcode.io/problems/guess-number-higher-or-lower?list=neetcode250" TargetMode="External"/><Relationship Id="rId177" Type="http://schemas.openxmlformats.org/officeDocument/2006/relationships/hyperlink" Target="https://neetcode.io/problems/depth-of-binary-tree?list=neetcode250" TargetMode="External"/><Relationship Id="rId342" Type="http://schemas.openxmlformats.org/officeDocument/2006/relationships/hyperlink" Target="https://leetcode.com/problems/find-critical-and-pseudo-critical-edges-in-minimum-spanning-tree/" TargetMode="External"/><Relationship Id="rId384" Type="http://schemas.openxmlformats.org/officeDocument/2006/relationships/hyperlink" Target="https://leetcode.com/problems/longest-common-subsequence/" TargetMode="External"/><Relationship Id="rId202" Type="http://schemas.openxmlformats.org/officeDocument/2006/relationships/hyperlink" Target="https://leetcode.com/problems/binary-tree-maximum-path-sum/" TargetMode="External"/><Relationship Id="rId244" Type="http://schemas.openxmlformats.org/officeDocument/2006/relationships/hyperlink" Target="https://leetcode.com/problems/ipo/" TargetMode="External"/><Relationship Id="rId39" Type="http://schemas.openxmlformats.org/officeDocument/2006/relationships/hyperlink" Target="https://neetcode.io/problems/majority-element-ii?list=neetcode250" TargetMode="External"/><Relationship Id="rId286" Type="http://schemas.openxmlformats.org/officeDocument/2006/relationships/hyperlink" Target="https://leetcode.com/problems/number-of-islands/" TargetMode="External"/><Relationship Id="rId451" Type="http://schemas.openxmlformats.org/officeDocument/2006/relationships/hyperlink" Target="https://neetcode.io/problems/minimum-interval-including-query?list=neetcode250" TargetMode="External"/><Relationship Id="rId493" Type="http://schemas.openxmlformats.org/officeDocument/2006/relationships/hyperlink" Target="https://neetcode.io/problems/reverse-integer?list=neetcode250" TargetMode="External"/><Relationship Id="rId50" Type="http://schemas.openxmlformats.org/officeDocument/2006/relationships/hyperlink" Target="https://leetcode.com/problems/3sum/" TargetMode="External"/><Relationship Id="rId104" Type="http://schemas.openxmlformats.org/officeDocument/2006/relationships/hyperlink" Target="https://leetcode.com/problems/baseball-game/" TargetMode="External"/><Relationship Id="rId146" Type="http://schemas.openxmlformats.org/officeDocument/2006/relationships/hyperlink" Target="https://leetcode.com/problems/find-in-mountain-array" TargetMode="External"/><Relationship Id="rId188" Type="http://schemas.openxmlformats.org/officeDocument/2006/relationships/hyperlink" Target="https://leetcode.com/problems/lowest-common-ancestor-of-a-binary-search-tree/" TargetMode="External"/><Relationship Id="rId311" Type="http://schemas.openxmlformats.org/officeDocument/2006/relationships/hyperlink" Target="https://neetcode.io/problems/island-perimeter?list=neetcode250" TargetMode="External"/><Relationship Id="rId353" Type="http://schemas.openxmlformats.org/officeDocument/2006/relationships/hyperlink" Target="https://neetcode.io/problems/house-robber-ii?list=neetcode250" TargetMode="External"/><Relationship Id="rId395" Type="http://schemas.openxmlformats.org/officeDocument/2006/relationships/hyperlink" Target="https://neetcode.io/problems/count-subsequences?list=neetcode250" TargetMode="External"/><Relationship Id="rId409" Type="http://schemas.openxmlformats.org/officeDocument/2006/relationships/hyperlink" Target="https://neetcode.io/problems/stone-game?list=neetcode250" TargetMode="External"/><Relationship Id="rId92" Type="http://schemas.openxmlformats.org/officeDocument/2006/relationships/hyperlink" Target="https://leetcode.com/problems/min-stack/" TargetMode="External"/><Relationship Id="rId213" Type="http://schemas.openxmlformats.org/officeDocument/2006/relationships/hyperlink" Target="https://neetcode.io/problems/delete-node-in-a-bst?list=neetcode250" TargetMode="External"/><Relationship Id="rId420" Type="http://schemas.openxmlformats.org/officeDocument/2006/relationships/hyperlink" Target="https://leetcode.com/problems/gas-station/" TargetMode="External"/><Relationship Id="rId255" Type="http://schemas.openxmlformats.org/officeDocument/2006/relationships/hyperlink" Target="https://neetcode.io/problems/combination-target-sum?list=neetcode250" TargetMode="External"/><Relationship Id="rId297" Type="http://schemas.openxmlformats.org/officeDocument/2006/relationships/hyperlink" Target="https://neetcode.io/problems/surrounded-regions?list=neetcode250" TargetMode="External"/><Relationship Id="rId462" Type="http://schemas.openxmlformats.org/officeDocument/2006/relationships/hyperlink" Target="https://leetcode.com/problems/happy-number/" TargetMode="External"/><Relationship Id="rId115" Type="http://schemas.openxmlformats.org/officeDocument/2006/relationships/hyperlink" Target="https://neetcode.io/problems/decode-string?list=neetcode250" TargetMode="External"/><Relationship Id="rId157" Type="http://schemas.openxmlformats.org/officeDocument/2006/relationships/hyperlink" Target="https://neetcode.io/problems/copy-linked-list-with-random-pointer?list=neetcode250" TargetMode="External"/><Relationship Id="rId322" Type="http://schemas.openxmlformats.org/officeDocument/2006/relationships/hyperlink" Target="https://leetcode.com/problems/accounts-merge/" TargetMode="External"/><Relationship Id="rId364" Type="http://schemas.openxmlformats.org/officeDocument/2006/relationships/hyperlink" Target="https://leetcode.com/problems/maximum-product-subarray/" TargetMode="External"/><Relationship Id="rId61" Type="http://schemas.openxmlformats.org/officeDocument/2006/relationships/hyperlink" Target="https://neetcode.io/problems/merge-sorted-array?list=neetcode250" TargetMode="External"/><Relationship Id="rId199" Type="http://schemas.openxmlformats.org/officeDocument/2006/relationships/hyperlink" Target="https://neetcode.io/problems/binary-tree-from-preorder-and-inorder-traversal?list=neetcode250" TargetMode="External"/><Relationship Id="rId19" Type="http://schemas.openxmlformats.org/officeDocument/2006/relationships/hyperlink" Target="https://neetcode.io/problems/concatenation-of-array?list=neetcode250" TargetMode="External"/><Relationship Id="rId224" Type="http://schemas.openxmlformats.org/officeDocument/2006/relationships/hyperlink" Target="https://leetcode.com/problems/last-stone-weight/" TargetMode="External"/><Relationship Id="rId266" Type="http://schemas.openxmlformats.org/officeDocument/2006/relationships/hyperlink" Target="https://leetcode.com/problems/palindrome-partitioning/" TargetMode="External"/><Relationship Id="rId431" Type="http://schemas.openxmlformats.org/officeDocument/2006/relationships/hyperlink" Target="https://neetcode.io/problems/maximum-sum-circular-subarray?list=neetcode250" TargetMode="External"/><Relationship Id="rId473" Type="http://schemas.openxmlformats.org/officeDocument/2006/relationships/hyperlink" Target="https://neetcode.io/problems/greatest-common-divisor-of-strings?list=neetcode250" TargetMode="External"/><Relationship Id="rId30" Type="http://schemas.openxmlformats.org/officeDocument/2006/relationships/hyperlink" Target="https://leetcode.com/problems/design-hashmap/" TargetMode="External"/><Relationship Id="rId126" Type="http://schemas.openxmlformats.org/officeDocument/2006/relationships/hyperlink" Target="https://leetcode.com/problems/find-minimum-in-rotated-sorted-array/" TargetMode="External"/><Relationship Id="rId168" Type="http://schemas.openxmlformats.org/officeDocument/2006/relationships/hyperlink" Target="https://leetcode.com/problems/reverse-nodes-in-k-group/" TargetMode="External"/><Relationship Id="rId333" Type="http://schemas.openxmlformats.org/officeDocument/2006/relationships/hyperlink" Target="https://neetcode.io/problems/swim-in-rising-water?list=neetcode250" TargetMode="External"/><Relationship Id="rId72" Type="http://schemas.openxmlformats.org/officeDocument/2006/relationships/hyperlink" Target="https://leetcode.com/problems/best-time-to-buy-and-sell-stock/" TargetMode="External"/><Relationship Id="rId375" Type="http://schemas.openxmlformats.org/officeDocument/2006/relationships/hyperlink" Target="https://neetcode.io/problems/perfect-squares?list=neetcode250" TargetMode="External"/><Relationship Id="rId3" Type="http://schemas.openxmlformats.org/officeDocument/2006/relationships/hyperlink" Target="https://neetcode.io/problems/is-anagram?list=neetcode250" TargetMode="External"/><Relationship Id="rId235" Type="http://schemas.openxmlformats.org/officeDocument/2006/relationships/hyperlink" Target="https://neetcode.io/problems/single-threaded-cpu?list=neetcode250" TargetMode="External"/><Relationship Id="rId277" Type="http://schemas.openxmlformats.org/officeDocument/2006/relationships/hyperlink" Target="https://neetcode.io/problems/matchsticks-to-square?list=neetcode250" TargetMode="External"/><Relationship Id="rId400" Type="http://schemas.openxmlformats.org/officeDocument/2006/relationships/hyperlink" Target="https://leetcode.com/problems/burst-balloons/" TargetMode="External"/><Relationship Id="rId442" Type="http://schemas.openxmlformats.org/officeDocument/2006/relationships/hyperlink" Target="https://leetcode.com/problems/insert-interval/" TargetMode="External"/><Relationship Id="rId484" Type="http://schemas.openxmlformats.org/officeDocument/2006/relationships/hyperlink" Target="https://leetcode.com/problems/number-of-1-bits/" TargetMode="External"/><Relationship Id="rId137" Type="http://schemas.openxmlformats.org/officeDocument/2006/relationships/hyperlink" Target="https://neetcode.io/problems/sqrtx?list=neetcode250" TargetMode="External"/><Relationship Id="rId302" Type="http://schemas.openxmlformats.org/officeDocument/2006/relationships/hyperlink" Target="https://leetcode.com/problems/course-schedule-ii/" TargetMode="External"/><Relationship Id="rId344" Type="http://schemas.openxmlformats.org/officeDocument/2006/relationships/hyperlink" Target="https://leetcode.com/problems/build-a-matrix-with-conditions" TargetMode="External"/><Relationship Id="rId41" Type="http://schemas.openxmlformats.org/officeDocument/2006/relationships/hyperlink" Target="https://neetcode.io/problems/subarray-sum-equals-k?list=neetcode250" TargetMode="External"/><Relationship Id="rId83" Type="http://schemas.openxmlformats.org/officeDocument/2006/relationships/hyperlink" Target="https://neetcode.io/problems/contains-duplicate-ii?list=neetcode250" TargetMode="External"/><Relationship Id="rId179" Type="http://schemas.openxmlformats.org/officeDocument/2006/relationships/hyperlink" Target="https://neetcode.io/problems/binary-tree-diameter?list=neetcode250" TargetMode="External"/><Relationship Id="rId386" Type="http://schemas.openxmlformats.org/officeDocument/2006/relationships/hyperlink" Target="https://leetcode.com/problems/best-time-to-buy-and-sell-stock-with-cooldown/" TargetMode="External"/><Relationship Id="rId190" Type="http://schemas.openxmlformats.org/officeDocument/2006/relationships/hyperlink" Target="https://leetcode.com/problems/binary-tree-level-order-traversal/" TargetMode="External"/><Relationship Id="rId204" Type="http://schemas.openxmlformats.org/officeDocument/2006/relationships/hyperlink" Target="https://leetcode.com/problems/serialize-and-deserialize-binary-tree/" TargetMode="External"/><Relationship Id="rId246" Type="http://schemas.openxmlformats.org/officeDocument/2006/relationships/hyperlink" Target="https://leetcode.com/problems/implement-trie-prefix-tree/" TargetMode="External"/><Relationship Id="rId288" Type="http://schemas.openxmlformats.org/officeDocument/2006/relationships/hyperlink" Target="https://leetcode.com/problems/max-area-of-island/" TargetMode="External"/><Relationship Id="rId411" Type="http://schemas.openxmlformats.org/officeDocument/2006/relationships/hyperlink" Target="https://neetcode.io/problems/stone-game-ii?list=neetcode250" TargetMode="External"/><Relationship Id="rId453" Type="http://schemas.openxmlformats.org/officeDocument/2006/relationships/hyperlink" Target="https://neetcode.io/problems/meeting-rooms-iii?list=neetcode2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zoomScaleNormal="100" workbookViewId="0"/>
  </sheetViews>
  <sheetFormatPr defaultColWidth="8.6640625" defaultRowHeight="14.4" x14ac:dyDescent="0.3"/>
  <cols>
    <col min="1" max="1" width="34" customWidth="1"/>
    <col min="2" max="4" width="14" customWidth="1"/>
    <col min="5" max="5" width="3" customWidth="1"/>
    <col min="6" max="6" width="24" customWidth="1"/>
    <col min="7" max="7" width="16" customWidth="1"/>
    <col min="8" max="11" width="9" customWidth="1"/>
  </cols>
  <sheetData>
    <row r="1" spans="1:11" ht="22.8" x14ac:dyDescent="0.4">
      <c r="A1" s="2" t="s">
        <v>0</v>
      </c>
    </row>
    <row r="2" spans="1:11" x14ac:dyDescent="0.3">
      <c r="A2" s="3" t="s">
        <v>1</v>
      </c>
    </row>
    <row r="4" spans="1:11" ht="30" customHeight="1" x14ac:dyDescent="0.3">
      <c r="A4" s="4" t="s">
        <v>2</v>
      </c>
      <c r="B4" s="4" t="s">
        <v>3</v>
      </c>
      <c r="C4" s="4" t="s">
        <v>4</v>
      </c>
      <c r="D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</row>
    <row r="5" spans="1:11" x14ac:dyDescent="0.3">
      <c r="A5" s="5" t="s">
        <v>12</v>
      </c>
      <c r="B5" s="6">
        <f>COUNTIFS('DSA Problems'!G2:G251,"NeetCode 150",'DSA Problems'!H2:H251,"Solved")</f>
        <v>0</v>
      </c>
      <c r="C5" s="6">
        <v>150</v>
      </c>
      <c r="D5" s="7">
        <f>IFERROR(B5/C5,0)</f>
        <v>0</v>
      </c>
      <c r="F5" s="8" t="s">
        <v>13</v>
      </c>
      <c r="G5" s="9" t="s">
        <v>14</v>
      </c>
      <c r="H5" s="9">
        <f>COUNTIFS('DSA Problems'!B2:B251,F5,'DSA Problems'!G2:G251,"NeetCode 150",'DSA Problems'!H2:H251,"Solved")</f>
        <v>0</v>
      </c>
      <c r="I5" s="9">
        <f>COUNTIFS('DSA Problems'!B2:B251,F5,'DSA Problems'!G2:G251,"NeetCode 150")</f>
        <v>9</v>
      </c>
      <c r="J5" s="9">
        <f>COUNTIFS('DSA Problems'!B2:B251,F5,'DSA Problems'!H2:H251,"Solved")</f>
        <v>0</v>
      </c>
      <c r="K5" s="9">
        <f>COUNTIF('DSA Problems'!B2:B251,F5)</f>
        <v>22</v>
      </c>
    </row>
    <row r="6" spans="1:11" x14ac:dyDescent="0.3">
      <c r="A6" s="5" t="s">
        <v>15</v>
      </c>
      <c r="B6" s="6">
        <f>COUNTIF('DSA Problems'!H2:H251,"Solved")</f>
        <v>0</v>
      </c>
      <c r="C6" s="6">
        <v>250</v>
      </c>
      <c r="D6" s="7">
        <f>IFERROR(B6/C6,0)</f>
        <v>0</v>
      </c>
      <c r="F6" s="8" t="s">
        <v>16</v>
      </c>
      <c r="G6" s="9" t="s">
        <v>17</v>
      </c>
      <c r="H6" s="9">
        <f>COUNTIFS('DSA Problems'!B2:B251,F6,'DSA Problems'!G2:G251,"NeetCode 150",'DSA Problems'!H2:H251,"Solved")</f>
        <v>0</v>
      </c>
      <c r="I6" s="9">
        <f>COUNTIFS('DSA Problems'!B2:B251,F6,'DSA Problems'!G2:G251,"NeetCode 150")</f>
        <v>5</v>
      </c>
      <c r="J6" s="9">
        <f>COUNTIFS('DSA Problems'!B2:B251,F6,'DSA Problems'!H2:H251,"Solved")</f>
        <v>0</v>
      </c>
      <c r="K6" s="9">
        <f>COUNTIF('DSA Problems'!B2:B251,F6)</f>
        <v>13</v>
      </c>
    </row>
    <row r="7" spans="1:11" x14ac:dyDescent="0.3">
      <c r="A7" s="8" t="s">
        <v>18</v>
      </c>
      <c r="B7" s="9">
        <f>COUNTIF('DSA Problems'!H2:H251,"Revisit")</f>
        <v>0</v>
      </c>
      <c r="C7" s="9"/>
      <c r="D7" s="10"/>
      <c r="F7" s="8" t="s">
        <v>19</v>
      </c>
      <c r="G7" s="9" t="s">
        <v>17</v>
      </c>
      <c r="H7" s="9">
        <f>COUNTIFS('DSA Problems'!B2:B251,F7,'DSA Problems'!G2:G251,"NeetCode 150",'DSA Problems'!H2:H251,"Solved")</f>
        <v>0</v>
      </c>
      <c r="I7" s="9">
        <f>COUNTIFS('DSA Problems'!B2:B251,F7,'DSA Problems'!G2:G251,"NeetCode 150")</f>
        <v>6</v>
      </c>
      <c r="J7" s="9">
        <f>COUNTIFS('DSA Problems'!B2:B251,F7,'DSA Problems'!H2:H251,"Solved")</f>
        <v>0</v>
      </c>
      <c r="K7" s="9">
        <f>COUNTIF('DSA Problems'!B2:B251,F7)</f>
        <v>9</v>
      </c>
    </row>
    <row r="8" spans="1:11" x14ac:dyDescent="0.3">
      <c r="A8" s="8" t="s">
        <v>20</v>
      </c>
      <c r="B8" s="9">
        <f>SUM('Daily Log'!O2:O93)</f>
        <v>0</v>
      </c>
      <c r="C8" s="9"/>
      <c r="D8" s="10"/>
      <c r="F8" s="8" t="s">
        <v>21</v>
      </c>
      <c r="G8" s="9" t="s">
        <v>17</v>
      </c>
      <c r="H8" s="9">
        <f>COUNTIFS('DSA Problems'!B2:B251,F8,'DSA Problems'!G2:G251,"NeetCode 150",'DSA Problems'!H2:H251,"Solved")</f>
        <v>0</v>
      </c>
      <c r="I8" s="9">
        <f>COUNTIFS('DSA Problems'!B2:B251,F8,'DSA Problems'!G2:G251,"NeetCode 150")</f>
        <v>7</v>
      </c>
      <c r="J8" s="9">
        <f>COUNTIFS('DSA Problems'!B2:B251,F8,'DSA Problems'!H2:H251,"Solved")</f>
        <v>0</v>
      </c>
      <c r="K8" s="9">
        <f>COUNTIF('DSA Problems'!B2:B251,F8)</f>
        <v>15</v>
      </c>
    </row>
    <row r="9" spans="1:11" x14ac:dyDescent="0.3">
      <c r="A9" s="5" t="s">
        <v>22</v>
      </c>
      <c r="B9" s="6">
        <f>SUM('Daily Log'!P2:P93)</f>
        <v>0</v>
      </c>
      <c r="C9" s="6">
        <v>70</v>
      </c>
      <c r="D9" s="7">
        <f t="shared" ref="D9:D16" si="0">IFERROR(B9/C9,0)</f>
        <v>0</v>
      </c>
      <c r="F9" s="8" t="s">
        <v>23</v>
      </c>
      <c r="G9" s="9" t="s">
        <v>24</v>
      </c>
      <c r="H9" s="9">
        <f>COUNTIFS('DSA Problems'!B2:B251,F9,'DSA Problems'!G2:G251,"NeetCode 150",'DSA Problems'!H2:H251,"Solved")</f>
        <v>0</v>
      </c>
      <c r="I9" s="9">
        <f>COUNTIFS('DSA Problems'!B2:B251,F9,'DSA Problems'!G2:G251,"NeetCode 150")</f>
        <v>7</v>
      </c>
      <c r="J9" s="9">
        <f>COUNTIFS('DSA Problems'!B2:B251,F9,'DSA Problems'!H2:H251,"Solved")</f>
        <v>0</v>
      </c>
      <c r="K9" s="9">
        <f>COUNTIF('DSA Problems'!B2:B251,F9)</f>
        <v>14</v>
      </c>
    </row>
    <row r="10" spans="1:11" x14ac:dyDescent="0.3">
      <c r="A10" s="5" t="s">
        <v>25</v>
      </c>
      <c r="B10" s="6">
        <f>COUNTIF('Weekly Plan'!F2:F54,"Yes")</f>
        <v>0</v>
      </c>
      <c r="C10" s="6">
        <f>COUNTA('Weekly Plan'!D2:D54)</f>
        <v>53</v>
      </c>
      <c r="D10" s="7">
        <f t="shared" si="0"/>
        <v>0</v>
      </c>
      <c r="F10" s="8" t="s">
        <v>26</v>
      </c>
      <c r="G10" s="9" t="s">
        <v>24</v>
      </c>
      <c r="H10" s="9">
        <f>COUNTIFS('DSA Problems'!B2:B251,F10,'DSA Problems'!G2:G251,"NeetCode 150",'DSA Problems'!H2:H251,"Solved")</f>
        <v>0</v>
      </c>
      <c r="I10" s="9">
        <f>COUNTIFS('DSA Problems'!B2:B251,F10,'DSA Problems'!G2:G251,"NeetCode 150")</f>
        <v>11</v>
      </c>
      <c r="J10" s="9">
        <f>COUNTIFS('DSA Problems'!B2:B251,F10,'DSA Problems'!H2:H251,"Solved")</f>
        <v>0</v>
      </c>
      <c r="K10" s="9">
        <f>COUNTIF('DSA Problems'!B2:B251,F10)</f>
        <v>14</v>
      </c>
    </row>
    <row r="11" spans="1:11" x14ac:dyDescent="0.3">
      <c r="A11" s="8" t="s">
        <v>27</v>
      </c>
      <c r="B11" s="9">
        <f>COUNTIFS('Weekly Plan'!C2:C54,"DSA",'Weekly Plan'!F2:F54,"Yes")</f>
        <v>0</v>
      </c>
      <c r="C11" s="9">
        <f>COUNTIF('Weekly Plan'!C2:C54,"DSA")</f>
        <v>22</v>
      </c>
      <c r="D11" s="10">
        <f t="shared" si="0"/>
        <v>0</v>
      </c>
      <c r="F11" s="8" t="s">
        <v>28</v>
      </c>
      <c r="G11" s="9" t="s">
        <v>29</v>
      </c>
      <c r="H11" s="9">
        <f>COUNTIFS('DSA Problems'!B2:B251,F11,'DSA Problems'!G2:G251,"NeetCode 150",'DSA Problems'!H2:H251,"Solved")</f>
        <v>0</v>
      </c>
      <c r="I11" s="9">
        <f>COUNTIFS('DSA Problems'!B2:B251,F11,'DSA Problems'!G2:G251,"NeetCode 150")</f>
        <v>15</v>
      </c>
      <c r="J11" s="9">
        <f>COUNTIFS('DSA Problems'!B2:B251,F11,'DSA Problems'!H2:H251,"Solved")</f>
        <v>0</v>
      </c>
      <c r="K11" s="9">
        <f>COUNTIF('DSA Problems'!B2:B251,F11)</f>
        <v>23</v>
      </c>
    </row>
    <row r="12" spans="1:11" x14ac:dyDescent="0.3">
      <c r="A12" s="8" t="s">
        <v>30</v>
      </c>
      <c r="B12" s="9">
        <f>COUNTIFS('Weekly Plan'!C2:C54,"HLD",'Weekly Plan'!F2:F54,"Yes")</f>
        <v>0</v>
      </c>
      <c r="C12" s="9">
        <f>COUNTIF('Weekly Plan'!C2:C54,"HLD")</f>
        <v>17</v>
      </c>
      <c r="D12" s="10">
        <f t="shared" si="0"/>
        <v>0</v>
      </c>
      <c r="F12" s="8" t="s">
        <v>31</v>
      </c>
      <c r="G12" s="9" t="s">
        <v>32</v>
      </c>
      <c r="H12" s="9">
        <f>COUNTIFS('DSA Problems'!B2:B251,F12,'DSA Problems'!G2:G251,"NeetCode 150",'DSA Problems'!H2:H251,"Solved")</f>
        <v>0</v>
      </c>
      <c r="I12" s="9">
        <f>COUNTIFS('DSA Problems'!B2:B251,F12,'DSA Problems'!G2:G251,"NeetCode 150")</f>
        <v>7</v>
      </c>
      <c r="J12" s="9">
        <f>COUNTIFS('DSA Problems'!B2:B251,F12,'DSA Problems'!H2:H251,"Solved")</f>
        <v>0</v>
      </c>
      <c r="K12" s="9">
        <f>COUNTIF('DSA Problems'!B2:B251,F12)</f>
        <v>12</v>
      </c>
    </row>
    <row r="13" spans="1:11" x14ac:dyDescent="0.3">
      <c r="A13" s="8" t="s">
        <v>33</v>
      </c>
      <c r="B13" s="9">
        <f>COUNTIFS('Weekly Plan'!C2:C54,"LLD",'Weekly Plan'!F2:F54,"Yes")</f>
        <v>0</v>
      </c>
      <c r="C13" s="9">
        <f>COUNTIF('Weekly Plan'!C2:C54,"LLD")</f>
        <v>14</v>
      </c>
      <c r="D13" s="10">
        <f t="shared" si="0"/>
        <v>0</v>
      </c>
      <c r="F13" s="8" t="s">
        <v>34</v>
      </c>
      <c r="G13" s="9" t="s">
        <v>32</v>
      </c>
      <c r="H13" s="9">
        <f>COUNTIFS('DSA Problems'!B2:B251,F13,'DSA Problems'!G2:G251,"NeetCode 150",'DSA Problems'!H2:H251,"Solved")</f>
        <v>0</v>
      </c>
      <c r="I13" s="9">
        <f>COUNTIFS('DSA Problems'!B2:B251,F13,'DSA Problems'!G2:G251,"NeetCode 150")</f>
        <v>3</v>
      </c>
      <c r="J13" s="9">
        <f>COUNTIFS('DSA Problems'!B2:B251,F13,'DSA Problems'!H2:H251,"Solved")</f>
        <v>0</v>
      </c>
      <c r="K13" s="9">
        <f>COUNTIF('DSA Problems'!B2:B251,F13)</f>
        <v>4</v>
      </c>
    </row>
    <row r="14" spans="1:11" x14ac:dyDescent="0.3">
      <c r="A14" s="5" t="s">
        <v>35</v>
      </c>
      <c r="B14" s="6">
        <f>COUNTIF(Milestones!C13:C24,"Yes")</f>
        <v>0</v>
      </c>
      <c r="C14" s="6">
        <v>12</v>
      </c>
      <c r="D14" s="7">
        <f t="shared" si="0"/>
        <v>0</v>
      </c>
      <c r="F14" s="8" t="s">
        <v>36</v>
      </c>
      <c r="G14" s="9" t="s">
        <v>32</v>
      </c>
      <c r="H14" s="9">
        <f>COUNTIFS('DSA Problems'!B2:B251,F14,'DSA Problems'!G2:G251,"NeetCode 150",'DSA Problems'!H2:H251,"Solved")</f>
        <v>0</v>
      </c>
      <c r="I14" s="9">
        <f>COUNTIFS('DSA Problems'!B2:B251,F14,'DSA Problems'!G2:G251,"NeetCode 150")</f>
        <v>9</v>
      </c>
      <c r="J14" s="9">
        <f>COUNTIFS('DSA Problems'!B2:B251,F14,'DSA Problems'!H2:H251,"Solved")</f>
        <v>0</v>
      </c>
      <c r="K14" s="9">
        <f>COUNTIF('DSA Problems'!B2:B251,F14)</f>
        <v>16</v>
      </c>
    </row>
    <row r="15" spans="1:11" x14ac:dyDescent="0.3">
      <c r="A15" s="5" t="s">
        <v>37</v>
      </c>
      <c r="B15" s="6">
        <f>COUNTIF(Milestones!C2:C10,"Yes")</f>
        <v>0</v>
      </c>
      <c r="C15" s="6">
        <f>COUNTA(Milestones!B2:B10)</f>
        <v>9</v>
      </c>
      <c r="D15" s="7">
        <f t="shared" si="0"/>
        <v>0</v>
      </c>
      <c r="F15" s="8" t="s">
        <v>38</v>
      </c>
      <c r="G15" s="9" t="s">
        <v>39</v>
      </c>
      <c r="H15" s="9">
        <f>COUNTIFS('DSA Problems'!B2:B251,F15,'DSA Problems'!G2:G251,"NeetCode 150",'DSA Problems'!H2:H251,"Solved")</f>
        <v>0</v>
      </c>
      <c r="I15" s="9">
        <f>COUNTIFS('DSA Problems'!B2:B251,F15,'DSA Problems'!G2:G251,"NeetCode 150")</f>
        <v>13</v>
      </c>
      <c r="J15" s="9">
        <f>COUNTIFS('DSA Problems'!B2:B251,F15,'DSA Problems'!H2:H251,"Solved")</f>
        <v>0</v>
      </c>
      <c r="K15" s="9">
        <f>COUNTIF('DSA Problems'!B2:B251,F15)</f>
        <v>21</v>
      </c>
    </row>
    <row r="16" spans="1:11" x14ac:dyDescent="0.3">
      <c r="A16" s="5" t="s">
        <v>40</v>
      </c>
      <c r="B16" s="6">
        <f>SUM('Daily Log'!M2:M93)</f>
        <v>0</v>
      </c>
      <c r="C16" s="6">
        <f>SUM('Daily Log'!N2:N93)</f>
        <v>484</v>
      </c>
      <c r="D16" s="7">
        <f t="shared" si="0"/>
        <v>0</v>
      </c>
      <c r="F16" s="8" t="s">
        <v>41</v>
      </c>
      <c r="G16" s="9" t="s">
        <v>39</v>
      </c>
      <c r="H16" s="9">
        <f>COUNTIFS('DSA Problems'!B2:B251,F16,'DSA Problems'!G2:G251,"NeetCode 150",'DSA Problems'!H2:H251,"Solved")</f>
        <v>0</v>
      </c>
      <c r="I16" s="9">
        <f>COUNTIFS('DSA Problems'!B2:B251,F16,'DSA Problems'!G2:G251,"NeetCode 150")</f>
        <v>6</v>
      </c>
      <c r="J16" s="9">
        <f>COUNTIFS('DSA Problems'!B2:B251,F16,'DSA Problems'!H2:H251,"Solved")</f>
        <v>0</v>
      </c>
      <c r="K16" s="9">
        <f>COUNTIF('DSA Problems'!B2:B251,F16)</f>
        <v>10</v>
      </c>
    </row>
    <row r="17" spans="1:11" x14ac:dyDescent="0.3">
      <c r="F17" s="8" t="s">
        <v>42</v>
      </c>
      <c r="G17" s="9" t="s">
        <v>43</v>
      </c>
      <c r="H17" s="9">
        <f>COUNTIFS('DSA Problems'!B2:B251,F17,'DSA Problems'!G2:G251,"NeetCode 150",'DSA Problems'!H2:H251,"Solved")</f>
        <v>0</v>
      </c>
      <c r="I17" s="9">
        <f>COUNTIFS('DSA Problems'!B2:B251,F17,'DSA Problems'!G2:G251,"NeetCode 150")</f>
        <v>12</v>
      </c>
      <c r="J17" s="9">
        <f>COUNTIFS('DSA Problems'!B2:B251,F17,'DSA Problems'!H2:H251,"Solved")</f>
        <v>0</v>
      </c>
      <c r="K17" s="9">
        <f>COUNTIF('DSA Problems'!B2:B251,F17)</f>
        <v>17</v>
      </c>
    </row>
    <row r="18" spans="1:11" ht="30" customHeight="1" x14ac:dyDescent="0.3">
      <c r="A18" s="4" t="s">
        <v>44</v>
      </c>
      <c r="B18" s="4" t="s">
        <v>45</v>
      </c>
      <c r="C18" s="4"/>
      <c r="D18" s="4"/>
      <c r="F18" s="8" t="s">
        <v>46</v>
      </c>
      <c r="G18" s="9" t="s">
        <v>47</v>
      </c>
      <c r="H18" s="9">
        <f>COUNTIFS('DSA Problems'!B2:B251,F18,'DSA Problems'!G2:G251,"NeetCode 150",'DSA Problems'!H2:H251,"Solved")</f>
        <v>0</v>
      </c>
      <c r="I18" s="9">
        <f>COUNTIFS('DSA Problems'!B2:B251,F18,'DSA Problems'!G2:G251,"NeetCode 150")</f>
        <v>11</v>
      </c>
      <c r="J18" s="9">
        <f>COUNTIFS('DSA Problems'!B2:B251,F18,'DSA Problems'!H2:H251,"Solved")</f>
        <v>0</v>
      </c>
      <c r="K18" s="9">
        <f>COUNTIF('DSA Problems'!B2:B251,F18)</f>
        <v>16</v>
      </c>
    </row>
    <row r="19" spans="1:11" x14ac:dyDescent="0.3">
      <c r="A19" s="5" t="s">
        <v>48</v>
      </c>
      <c r="B19" s="6">
        <f ca="1">MAX(0,DATE(2026,10,23)-TODAY())</f>
        <v>11</v>
      </c>
      <c r="F19" s="8" t="s">
        <v>49</v>
      </c>
      <c r="G19" s="9" t="s">
        <v>47</v>
      </c>
      <c r="H19" s="9">
        <f>COUNTIFS('DSA Problems'!B2:B251,F19,'DSA Problems'!G2:G251,"NeetCode 150",'DSA Problems'!H2:H251,"Solved")</f>
        <v>0</v>
      </c>
      <c r="I19" s="9">
        <f>COUNTIFS('DSA Problems'!B2:B251,F19,'DSA Problems'!G2:G251,"NeetCode 150")</f>
        <v>8</v>
      </c>
      <c r="J19" s="9">
        <f>COUNTIFS('DSA Problems'!B2:B251,F19,'DSA Problems'!H2:H251,"Solved")</f>
        <v>0</v>
      </c>
      <c r="K19" s="9">
        <f>COUNTIF('DSA Problems'!B2:B251,F19)</f>
        <v>14</v>
      </c>
    </row>
    <row r="20" spans="1:11" x14ac:dyDescent="0.3">
      <c r="A20" s="5" t="s">
        <v>50</v>
      </c>
      <c r="B20" s="11">
        <f>INDEX('Daily Log'!$A$2:$A$93,MATCH(52,'Daily Log'!$D$2:$D$93,0))</f>
        <v>46357</v>
      </c>
      <c r="F20" s="8" t="s">
        <v>51</v>
      </c>
      <c r="G20" s="9" t="s">
        <v>47</v>
      </c>
      <c r="H20" s="9">
        <f>COUNTIFS('DSA Problems'!B2:B251,F20,'DSA Problems'!G2:G251,"NeetCode 150",'DSA Problems'!H2:H251,"Solved")</f>
        <v>0</v>
      </c>
      <c r="I20" s="9">
        <f>COUNTIFS('DSA Problems'!B2:B251,F20,'DSA Problems'!G2:G251,"NeetCode 150")</f>
        <v>6</v>
      </c>
      <c r="J20" s="9">
        <f>COUNTIFS('DSA Problems'!B2:B251,F20,'DSA Problems'!H2:H251,"Solved")</f>
        <v>0</v>
      </c>
      <c r="K20" s="9">
        <f>COUNTIF('DSA Problems'!B2:B251,F20)</f>
        <v>7</v>
      </c>
    </row>
    <row r="21" spans="1:11" x14ac:dyDescent="0.3">
      <c r="A21" s="5" t="s">
        <v>52</v>
      </c>
      <c r="B21" s="6">
        <f ca="1">MAX(0,INDEX('Daily Log'!$A$2:$A$93,MATCH(52,'Daily Log'!$D$2:$D$93,0))-TODAY())</f>
        <v>50</v>
      </c>
      <c r="F21" s="8" t="s">
        <v>53</v>
      </c>
      <c r="G21" s="9" t="s">
        <v>54</v>
      </c>
      <c r="H21" s="9">
        <f>COUNTIFS('DSA Problems'!B2:B251,F21,'DSA Problems'!G2:G251,"NeetCode 150",'DSA Problems'!H2:H251,"Solved")</f>
        <v>0</v>
      </c>
      <c r="I21" s="9">
        <f>COUNTIFS('DSA Problems'!B2:B251,F21,'DSA Problems'!G2:G251,"NeetCode 150")</f>
        <v>8</v>
      </c>
      <c r="J21" s="9">
        <f>COUNTIFS('DSA Problems'!B2:B251,F21,'DSA Problems'!H2:H251,"Solved")</f>
        <v>0</v>
      </c>
      <c r="K21" s="9">
        <f>COUNTIF('DSA Problems'!B2:B251,F21)</f>
        <v>13</v>
      </c>
    </row>
    <row r="22" spans="1:11" x14ac:dyDescent="0.3">
      <c r="A22" s="5" t="s">
        <v>55</v>
      </c>
      <c r="B22" s="11">
        <f>INDEX('Daily Log'!$A$2:$A$93,MATCH(57,'Daily Log'!$D$2:$D$93,0))</f>
        <v>46362</v>
      </c>
      <c r="F22" s="8" t="s">
        <v>56</v>
      </c>
      <c r="G22" s="9" t="s">
        <v>54</v>
      </c>
      <c r="H22" s="9">
        <f>COUNTIFS('DSA Problems'!B2:B251,F22,'DSA Problems'!G2:G251,"NeetCode 150",'DSA Problems'!H2:H251,"Solved")</f>
        <v>0</v>
      </c>
      <c r="I22" s="9">
        <f>COUNTIFS('DSA Problems'!B2:B251,F22,'DSA Problems'!G2:G251,"NeetCode 150")</f>
        <v>7</v>
      </c>
      <c r="J22" s="9">
        <f>COUNTIFS('DSA Problems'!B2:B251,F22,'DSA Problems'!H2:H251,"Solved")</f>
        <v>0</v>
      </c>
      <c r="K22" s="9">
        <f>COUNTIF('DSA Problems'!B2:B251,F22)</f>
        <v>10</v>
      </c>
    </row>
    <row r="23" spans="1:11" x14ac:dyDescent="0.3">
      <c r="A23" s="5" t="s">
        <v>57</v>
      </c>
      <c r="B23" s="6">
        <f>COUNTIF('Daily Log'!C2:C93,"Yes")</f>
        <v>0</v>
      </c>
    </row>
    <row r="24" spans="1:11" x14ac:dyDescent="0.3">
      <c r="A24" s="5" t="s">
        <v>58</v>
      </c>
      <c r="B24" s="6">
        <f ca="1">IFERROR(INDEX('Daily Log'!E2:E93,MATCH(TODAY(),'Daily Log'!A2:A93,0)),0)</f>
        <v>1</v>
      </c>
    </row>
    <row r="25" spans="1:11" x14ac:dyDescent="0.3">
      <c r="A25" s="5" t="s">
        <v>59</v>
      </c>
      <c r="B25" s="6">
        <f ca="1">IFERROR(ROUNDUP(MAX(0,150-B5)/MAX(1,INDEX('Daily Log'!$A$2:$A$93,MATCH(52,'Daily Log'!$D$2:$D$93,0))-TODAY()),1),0)</f>
        <v>3</v>
      </c>
    </row>
    <row r="27" spans="1:11" ht="15.6" x14ac:dyDescent="0.3">
      <c r="A27" s="12" t="s">
        <v>60</v>
      </c>
    </row>
    <row r="28" spans="1:11" ht="30" customHeight="1" x14ac:dyDescent="0.3">
      <c r="A28" s="1" t="s">
        <v>61</v>
      </c>
      <c r="B28" s="1"/>
      <c r="C28" s="1"/>
      <c r="D28" s="1"/>
    </row>
    <row r="29" spans="1:11" ht="30" customHeight="1" x14ac:dyDescent="0.3">
      <c r="A29" s="1" t="s">
        <v>62</v>
      </c>
      <c r="B29" s="1"/>
      <c r="C29" s="1"/>
      <c r="D29" s="1"/>
    </row>
    <row r="30" spans="1:11" ht="30" customHeight="1" x14ac:dyDescent="0.3">
      <c r="A30" s="1" t="s">
        <v>63</v>
      </c>
      <c r="B30" s="1"/>
      <c r="C30" s="1"/>
      <c r="D30" s="1"/>
    </row>
    <row r="31" spans="1:11" ht="30" customHeight="1" x14ac:dyDescent="0.3">
      <c r="A31" s="1" t="s">
        <v>64</v>
      </c>
      <c r="B31" s="1"/>
      <c r="C31" s="1"/>
      <c r="D31" s="1"/>
    </row>
    <row r="32" spans="1:11" ht="30" customHeight="1" x14ac:dyDescent="0.3">
      <c r="A32" s="1" t="s">
        <v>65</v>
      </c>
      <c r="B32" s="1"/>
      <c r="C32" s="1"/>
      <c r="D32" s="1"/>
    </row>
    <row r="33" spans="1:4" ht="30" customHeight="1" x14ac:dyDescent="0.3">
      <c r="A33" s="1" t="s">
        <v>66</v>
      </c>
      <c r="B33" s="1"/>
      <c r="C33" s="1"/>
      <c r="D33" s="1"/>
    </row>
    <row r="34" spans="1:4" ht="30" customHeight="1" x14ac:dyDescent="0.3">
      <c r="A34" s="1" t="s">
        <v>67</v>
      </c>
      <c r="B34" s="1"/>
      <c r="C34" s="1"/>
      <c r="D34" s="1"/>
    </row>
    <row r="35" spans="1:4" ht="30" customHeight="1" x14ac:dyDescent="0.3">
      <c r="A35" s="1" t="s">
        <v>68</v>
      </c>
      <c r="B35" s="1"/>
      <c r="C35" s="1"/>
      <c r="D35" s="1"/>
    </row>
    <row r="36" spans="1:4" ht="30" customHeight="1" x14ac:dyDescent="0.3">
      <c r="A36" s="1" t="s">
        <v>69</v>
      </c>
      <c r="B36" s="1"/>
      <c r="C36" s="1"/>
      <c r="D36" s="1"/>
    </row>
  </sheetData>
  <mergeCells count="9">
    <mergeCell ref="A33:D33"/>
    <mergeCell ref="A34:D34"/>
    <mergeCell ref="A35:D35"/>
    <mergeCell ref="A36:D36"/>
    <mergeCell ref="A28:D28"/>
    <mergeCell ref="A29:D29"/>
    <mergeCell ref="A30:D30"/>
    <mergeCell ref="A31:D31"/>
    <mergeCell ref="A32:D32"/>
  </mergeCells>
  <conditionalFormatting sqref="D5:D16">
    <cfRule type="dataBar" priority="2">
      <dataBar>
        <cfvo type="num" val="0"/>
        <cfvo type="num" val="1"/>
        <color rgb="FF1B2A4E"/>
      </dataBar>
      <extLst>
        <ext xmlns:x14="http://schemas.microsoft.com/office/spreadsheetml/2009/9/main" uri="{B025F937-C7B1-47D3-B67F-A62EFF666E3E}">
          <x14:id>{1AE7E2A0-D5FE-42D2-A5EC-10FB2876321D}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AE7E2A0-D5FE-42D2-A5EC-10FB2876321D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1B2A4E"/>
            </x14:dataBar>
          </x14:cfRule>
          <xm:sqref>D5:D16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3"/>
  <sheetViews>
    <sheetView tabSelected="1" zoomScaleNormal="100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H3" sqref="H3"/>
    </sheetView>
  </sheetViews>
  <sheetFormatPr defaultColWidth="8.6640625" defaultRowHeight="14.4" x14ac:dyDescent="0.3"/>
  <cols>
    <col min="1" max="1" width="10" customWidth="1"/>
    <col min="2" max="2" width="6" customWidth="1"/>
    <col min="3" max="3" width="8" customWidth="1"/>
    <col min="4" max="5" width="7" customWidth="1"/>
    <col min="6" max="6" width="46" customWidth="1"/>
    <col min="7" max="8" width="10" customWidth="1"/>
    <col min="9" max="9" width="9" customWidth="1"/>
    <col min="10" max="10" width="10" customWidth="1"/>
    <col min="11" max="11" width="11" customWidth="1"/>
    <col min="12" max="12" width="9" customWidth="1"/>
    <col min="13" max="13" width="8" customWidth="1"/>
    <col min="14" max="14" width="9" customWidth="1"/>
    <col min="15" max="15" width="10" customWidth="1"/>
    <col min="16" max="16" width="9" customWidth="1"/>
    <col min="17" max="17" width="40" customWidth="1"/>
  </cols>
  <sheetData>
    <row r="1" spans="1:17" ht="30" customHeight="1" x14ac:dyDescent="0.3">
      <c r="A1" s="4" t="s">
        <v>70</v>
      </c>
      <c r="B1" s="4" t="s">
        <v>71</v>
      </c>
      <c r="C1" s="4" t="s">
        <v>72</v>
      </c>
      <c r="D1" s="4" t="s">
        <v>73</v>
      </c>
      <c r="E1" s="4" t="s">
        <v>74</v>
      </c>
      <c r="F1" s="4" t="s">
        <v>75</v>
      </c>
      <c r="G1" s="4" t="s">
        <v>76</v>
      </c>
      <c r="H1" s="4" t="s">
        <v>77</v>
      </c>
      <c r="I1" s="4" t="s">
        <v>78</v>
      </c>
      <c r="J1" s="4" t="s">
        <v>79</v>
      </c>
      <c r="K1" s="4" t="s">
        <v>80</v>
      </c>
      <c r="L1" s="4" t="s">
        <v>81</v>
      </c>
      <c r="M1" s="4" t="s">
        <v>82</v>
      </c>
      <c r="N1" s="4" t="s">
        <v>83</v>
      </c>
      <c r="O1" s="4" t="s">
        <v>84</v>
      </c>
      <c r="P1" s="4" t="s">
        <v>85</v>
      </c>
      <c r="Q1" s="4" t="s">
        <v>86</v>
      </c>
    </row>
    <row r="2" spans="1:17" ht="39.6" x14ac:dyDescent="0.3">
      <c r="A2" s="13">
        <v>46306</v>
      </c>
      <c r="B2" s="14" t="s">
        <v>87</v>
      </c>
      <c r="C2" s="15"/>
      <c r="D2" s="16">
        <f>IF(C2="Yes","",ROW()-1-COUNTIF($C$2:C2,"Yes"))</f>
        <v>1</v>
      </c>
      <c r="E2" s="16">
        <f t="shared" ref="E2:E33" si="0">IF(C2="Yes","",IF(D2&gt;57,"Buffer",MIN(8,INT((D2-1)/7)+1)))</f>
        <v>1</v>
      </c>
      <c r="F2" s="17" t="str">
        <f t="shared" ref="F2:F33" si="1">IF(C2="Yes","Day off: the plan shifts forward one day",IF(D2&gt;57,"Buffer: revision, weak topics, mock interviews",IF(D2=1,"Kickoff: two pointers basics + 2 easy problems · HLD intro (client-server, scaling) · Set up NeetCode list and notes",IF(WEEKDAY(A2,2)=6,"Contest or timed mock · "&amp;IF(E2&lt;=3,"Revise 2 HLD concepts","2 full HLD designs")&amp;" · Deep dive (Kafka, hashing...) · Gen AI catch-up",IF(WEEKDAY(A2,2)=7,"Re-solve the week’s hardest · "&amp;IF(E2&lt;=3,"Revise LLD concepts","1 LLD design")&amp;" · Read mistakes log · Half day off","DSA 10:10 · "&amp;IF(MOD(WEEKDAY(A2,2),2)=1,"HLD","LLD")&amp;IF(E2&lt;=3," concepts"," design")&amp;" 3:30 · Gen AI 5:30 · DSA 8:00 · "&amp;IF(A2&lt;DATE(2026,10,23),"DE practice exam",IF(A2=DATE(2026,10,23),"DATABRICKS EXAM DAY","Behavioral story + Gen AI hands-on"))&amp;" · Review")))))</f>
        <v>Kickoff: two pointers basics + 2 easy problems · HLD intro (client-server, scaling) · Set up NeetCode list and notes</v>
      </c>
      <c r="G2" s="15"/>
      <c r="H2" s="15"/>
      <c r="I2" s="18" t="s">
        <v>88</v>
      </c>
      <c r="J2" s="18" t="s">
        <v>88</v>
      </c>
      <c r="K2" s="18" t="s">
        <v>88</v>
      </c>
      <c r="L2" s="15"/>
      <c r="M2" s="16">
        <f t="shared" ref="M2:M33" si="2">IF(C2="Yes",0,COUNTIF(G2:L2,"Yes"))</f>
        <v>0</v>
      </c>
      <c r="N2" s="16">
        <f t="shared" ref="N2:N33" si="3">IF(C2="Yes",0,6-COUNTIF(G2:L2,"—"))</f>
        <v>3</v>
      </c>
      <c r="O2" s="15"/>
      <c r="P2" s="15"/>
      <c r="Q2" s="19"/>
    </row>
    <row r="3" spans="1:17" ht="26.4" x14ac:dyDescent="0.3">
      <c r="A3" s="20">
        <v>46307</v>
      </c>
      <c r="B3" s="16" t="s">
        <v>89</v>
      </c>
      <c r="C3" s="15"/>
      <c r="D3" s="16">
        <f>IF(C3="Yes","",ROW()-1-COUNTIF($C$2:C3,"Yes"))</f>
        <v>2</v>
      </c>
      <c r="E3" s="16">
        <f t="shared" si="0"/>
        <v>1</v>
      </c>
      <c r="F3" s="21" t="str">
        <f t="shared" si="1"/>
        <v>DSA 10:10 · HLD concepts 3:30 · Gen AI 5:30 · DSA 8:00 · DE practice exam · Review</v>
      </c>
      <c r="G3" s="15"/>
      <c r="H3" s="15"/>
      <c r="I3" s="15"/>
      <c r="J3" s="15"/>
      <c r="K3" s="15"/>
      <c r="L3" s="15"/>
      <c r="M3" s="16">
        <f t="shared" si="2"/>
        <v>0</v>
      </c>
      <c r="N3" s="16">
        <f t="shared" si="3"/>
        <v>6</v>
      </c>
      <c r="O3" s="15"/>
      <c r="P3" s="15"/>
      <c r="Q3" s="19"/>
    </row>
    <row r="4" spans="1:17" ht="26.4" x14ac:dyDescent="0.3">
      <c r="A4" s="20">
        <v>46308</v>
      </c>
      <c r="B4" s="16" t="s">
        <v>90</v>
      </c>
      <c r="C4" s="15"/>
      <c r="D4" s="16">
        <f>IF(C4="Yes","",ROW()-1-COUNTIF($C$2:C4,"Yes"))</f>
        <v>3</v>
      </c>
      <c r="E4" s="16">
        <f t="shared" si="0"/>
        <v>1</v>
      </c>
      <c r="F4" s="21" t="str">
        <f t="shared" si="1"/>
        <v>DSA 10:10 · LLD concepts 3:30 · Gen AI 5:30 · DSA 8:00 · DE practice exam · Review</v>
      </c>
      <c r="G4" s="15"/>
      <c r="H4" s="15"/>
      <c r="I4" s="15"/>
      <c r="J4" s="15"/>
      <c r="K4" s="15"/>
      <c r="L4" s="15"/>
      <c r="M4" s="16">
        <f t="shared" si="2"/>
        <v>0</v>
      </c>
      <c r="N4" s="16">
        <f t="shared" si="3"/>
        <v>6</v>
      </c>
      <c r="O4" s="15"/>
      <c r="P4" s="15"/>
      <c r="Q4" s="19"/>
    </row>
    <row r="5" spans="1:17" ht="26.4" x14ac:dyDescent="0.3">
      <c r="A5" s="20">
        <v>46309</v>
      </c>
      <c r="B5" s="16" t="s">
        <v>91</v>
      </c>
      <c r="C5" s="15"/>
      <c r="D5" s="16">
        <f>IF(C5="Yes","",ROW()-1-COUNTIF($C$2:C5,"Yes"))</f>
        <v>4</v>
      </c>
      <c r="E5" s="16">
        <f t="shared" si="0"/>
        <v>1</v>
      </c>
      <c r="F5" s="21" t="str">
        <f t="shared" si="1"/>
        <v>DSA 10:10 · HLD concepts 3:30 · Gen AI 5:30 · DSA 8:00 · DE practice exam · Review</v>
      </c>
      <c r="G5" s="15"/>
      <c r="H5" s="15"/>
      <c r="I5" s="15"/>
      <c r="J5" s="15"/>
      <c r="K5" s="15"/>
      <c r="L5" s="15"/>
      <c r="M5" s="16">
        <f t="shared" si="2"/>
        <v>0</v>
      </c>
      <c r="N5" s="16">
        <f t="shared" si="3"/>
        <v>6</v>
      </c>
      <c r="O5" s="15"/>
      <c r="P5" s="15"/>
      <c r="Q5" s="19"/>
    </row>
    <row r="6" spans="1:17" ht="26.4" x14ac:dyDescent="0.3">
      <c r="A6" s="20">
        <v>46310</v>
      </c>
      <c r="B6" s="16" t="s">
        <v>92</v>
      </c>
      <c r="C6" s="15"/>
      <c r="D6" s="16">
        <f>IF(C6="Yes","",ROW()-1-COUNTIF($C$2:C6,"Yes"))</f>
        <v>5</v>
      </c>
      <c r="E6" s="16">
        <f t="shared" si="0"/>
        <v>1</v>
      </c>
      <c r="F6" s="21" t="str">
        <f t="shared" si="1"/>
        <v>DSA 10:10 · LLD concepts 3:30 · Gen AI 5:30 · DSA 8:00 · DE practice exam · Review</v>
      </c>
      <c r="G6" s="15"/>
      <c r="H6" s="15"/>
      <c r="I6" s="15"/>
      <c r="J6" s="15"/>
      <c r="K6" s="15"/>
      <c r="L6" s="15"/>
      <c r="M6" s="16">
        <f t="shared" si="2"/>
        <v>0</v>
      </c>
      <c r="N6" s="16">
        <f t="shared" si="3"/>
        <v>6</v>
      </c>
      <c r="O6" s="15"/>
      <c r="P6" s="15"/>
      <c r="Q6" s="19"/>
    </row>
    <row r="7" spans="1:17" ht="26.4" x14ac:dyDescent="0.3">
      <c r="A7" s="20">
        <v>46311</v>
      </c>
      <c r="B7" s="16" t="s">
        <v>93</v>
      </c>
      <c r="C7" s="15"/>
      <c r="D7" s="16">
        <f>IF(C7="Yes","",ROW()-1-COUNTIF($C$2:C7,"Yes"))</f>
        <v>6</v>
      </c>
      <c r="E7" s="16">
        <f t="shared" si="0"/>
        <v>1</v>
      </c>
      <c r="F7" s="21" t="str">
        <f t="shared" si="1"/>
        <v>DSA 10:10 · HLD concepts 3:30 · Gen AI 5:30 · DSA 8:00 · DE practice exam · Review</v>
      </c>
      <c r="G7" s="15"/>
      <c r="H7" s="15"/>
      <c r="I7" s="15"/>
      <c r="J7" s="15"/>
      <c r="K7" s="15"/>
      <c r="L7" s="15"/>
      <c r="M7" s="16">
        <f t="shared" si="2"/>
        <v>0</v>
      </c>
      <c r="N7" s="16">
        <f t="shared" si="3"/>
        <v>6</v>
      </c>
      <c r="O7" s="15"/>
      <c r="P7" s="15"/>
      <c r="Q7" s="19"/>
    </row>
    <row r="8" spans="1:17" ht="26.4" x14ac:dyDescent="0.3">
      <c r="A8" s="13">
        <v>46312</v>
      </c>
      <c r="B8" s="14" t="s">
        <v>94</v>
      </c>
      <c r="C8" s="15"/>
      <c r="D8" s="16">
        <f>IF(C8="Yes","",ROW()-1-COUNTIF($C$2:C8,"Yes"))</f>
        <v>7</v>
      </c>
      <c r="E8" s="16">
        <f t="shared" si="0"/>
        <v>1</v>
      </c>
      <c r="F8" s="17" t="str">
        <f t="shared" si="1"/>
        <v>Contest or timed mock · Revise 2 HLD concepts · Deep dive (Kafka, hashing...) · Gen AI catch-up</v>
      </c>
      <c r="G8" s="15"/>
      <c r="H8" s="15"/>
      <c r="I8" s="15"/>
      <c r="J8" s="18" t="s">
        <v>88</v>
      </c>
      <c r="K8" s="15"/>
      <c r="L8" s="18" t="s">
        <v>88</v>
      </c>
      <c r="M8" s="16">
        <f t="shared" si="2"/>
        <v>0</v>
      </c>
      <c r="N8" s="16">
        <f t="shared" si="3"/>
        <v>4</v>
      </c>
      <c r="O8" s="15"/>
      <c r="P8" s="15"/>
      <c r="Q8" s="19"/>
    </row>
    <row r="9" spans="1:17" ht="26.4" x14ac:dyDescent="0.3">
      <c r="A9" s="13">
        <v>46313</v>
      </c>
      <c r="B9" s="14" t="s">
        <v>87</v>
      </c>
      <c r="C9" s="15"/>
      <c r="D9" s="16">
        <f>IF(C9="Yes","",ROW()-1-COUNTIF($C$2:C9,"Yes"))</f>
        <v>8</v>
      </c>
      <c r="E9" s="16">
        <f t="shared" si="0"/>
        <v>2</v>
      </c>
      <c r="F9" s="17" t="str">
        <f t="shared" si="1"/>
        <v>Re-solve the week’s hardest · Revise LLD concepts · Read mistakes log · Half day off</v>
      </c>
      <c r="G9" s="15"/>
      <c r="H9" s="15"/>
      <c r="I9" s="18" t="s">
        <v>88</v>
      </c>
      <c r="J9" s="18" t="s">
        <v>88</v>
      </c>
      <c r="K9" s="18" t="s">
        <v>88</v>
      </c>
      <c r="L9" s="15"/>
      <c r="M9" s="16">
        <f t="shared" si="2"/>
        <v>0</v>
      </c>
      <c r="N9" s="16">
        <f t="shared" si="3"/>
        <v>3</v>
      </c>
      <c r="O9" s="15"/>
      <c r="P9" s="15"/>
      <c r="Q9" s="19"/>
    </row>
    <row r="10" spans="1:17" ht="26.4" x14ac:dyDescent="0.3">
      <c r="A10" s="20">
        <v>46314</v>
      </c>
      <c r="B10" s="16" t="s">
        <v>89</v>
      </c>
      <c r="C10" s="15"/>
      <c r="D10" s="16">
        <f>IF(C10="Yes","",ROW()-1-COUNTIF($C$2:C10,"Yes"))</f>
        <v>9</v>
      </c>
      <c r="E10" s="16">
        <f t="shared" si="0"/>
        <v>2</v>
      </c>
      <c r="F10" s="21" t="str">
        <f t="shared" si="1"/>
        <v>DSA 10:10 · HLD concepts 3:30 · Gen AI 5:30 · DSA 8:00 · DE practice exam · Review</v>
      </c>
      <c r="G10" s="15"/>
      <c r="H10" s="15"/>
      <c r="I10" s="15"/>
      <c r="J10" s="15"/>
      <c r="K10" s="15"/>
      <c r="L10" s="15"/>
      <c r="M10" s="16">
        <f t="shared" si="2"/>
        <v>0</v>
      </c>
      <c r="N10" s="16">
        <f t="shared" si="3"/>
        <v>6</v>
      </c>
      <c r="O10" s="15"/>
      <c r="P10" s="15"/>
      <c r="Q10" s="19"/>
    </row>
    <row r="11" spans="1:17" ht="26.4" x14ac:dyDescent="0.3">
      <c r="A11" s="20">
        <v>46315</v>
      </c>
      <c r="B11" s="16" t="s">
        <v>90</v>
      </c>
      <c r="C11" s="15"/>
      <c r="D11" s="16">
        <f>IF(C11="Yes","",ROW()-1-COUNTIF($C$2:C11,"Yes"))</f>
        <v>10</v>
      </c>
      <c r="E11" s="16">
        <f t="shared" si="0"/>
        <v>2</v>
      </c>
      <c r="F11" s="21" t="str">
        <f t="shared" si="1"/>
        <v>DSA 10:10 · LLD concepts 3:30 · Gen AI 5:30 · DSA 8:00 · DE practice exam · Review</v>
      </c>
      <c r="G11" s="15"/>
      <c r="H11" s="15"/>
      <c r="I11" s="15"/>
      <c r="J11" s="15"/>
      <c r="K11" s="15"/>
      <c r="L11" s="15"/>
      <c r="M11" s="16">
        <f t="shared" si="2"/>
        <v>0</v>
      </c>
      <c r="N11" s="16">
        <f t="shared" si="3"/>
        <v>6</v>
      </c>
      <c r="O11" s="15"/>
      <c r="P11" s="15"/>
      <c r="Q11" s="19"/>
    </row>
    <row r="12" spans="1:17" ht="26.4" x14ac:dyDescent="0.3">
      <c r="A12" s="20">
        <v>46316</v>
      </c>
      <c r="B12" s="16" t="s">
        <v>91</v>
      </c>
      <c r="C12" s="15"/>
      <c r="D12" s="16">
        <f>IF(C12="Yes","",ROW()-1-COUNTIF($C$2:C12,"Yes"))</f>
        <v>11</v>
      </c>
      <c r="E12" s="16">
        <f t="shared" si="0"/>
        <v>2</v>
      </c>
      <c r="F12" s="21" t="str">
        <f t="shared" si="1"/>
        <v>DSA 10:10 · HLD concepts 3:30 · Gen AI 5:30 · DSA 8:00 · DE practice exam · Review</v>
      </c>
      <c r="G12" s="15"/>
      <c r="H12" s="15"/>
      <c r="I12" s="15"/>
      <c r="J12" s="15"/>
      <c r="K12" s="15"/>
      <c r="L12" s="15"/>
      <c r="M12" s="16">
        <f t="shared" si="2"/>
        <v>0</v>
      </c>
      <c r="N12" s="16">
        <f t="shared" si="3"/>
        <v>6</v>
      </c>
      <c r="O12" s="15"/>
      <c r="P12" s="15"/>
      <c r="Q12" s="19"/>
    </row>
    <row r="13" spans="1:17" ht="26.4" x14ac:dyDescent="0.3">
      <c r="A13" s="20">
        <v>46317</v>
      </c>
      <c r="B13" s="16" t="s">
        <v>92</v>
      </c>
      <c r="C13" s="15"/>
      <c r="D13" s="16">
        <f>IF(C13="Yes","",ROW()-1-COUNTIF($C$2:C13,"Yes"))</f>
        <v>12</v>
      </c>
      <c r="E13" s="16">
        <f t="shared" si="0"/>
        <v>2</v>
      </c>
      <c r="F13" s="21" t="str">
        <f t="shared" si="1"/>
        <v>DSA 10:10 · LLD concepts 3:30 · Gen AI 5:30 · DSA 8:00 · DE practice exam · Review</v>
      </c>
      <c r="G13" s="15"/>
      <c r="H13" s="15"/>
      <c r="I13" s="15"/>
      <c r="J13" s="15"/>
      <c r="K13" s="15"/>
      <c r="L13" s="15"/>
      <c r="M13" s="16">
        <f t="shared" si="2"/>
        <v>0</v>
      </c>
      <c r="N13" s="16">
        <f t="shared" si="3"/>
        <v>6</v>
      </c>
      <c r="O13" s="15"/>
      <c r="P13" s="15"/>
      <c r="Q13" s="19"/>
    </row>
    <row r="14" spans="1:17" ht="26.4" x14ac:dyDescent="0.3">
      <c r="A14" s="20">
        <v>46318</v>
      </c>
      <c r="B14" s="16" t="s">
        <v>93</v>
      </c>
      <c r="C14" s="15"/>
      <c r="D14" s="16">
        <f>IF(C14="Yes","",ROW()-1-COUNTIF($C$2:C14,"Yes"))</f>
        <v>13</v>
      </c>
      <c r="E14" s="16">
        <f t="shared" si="0"/>
        <v>2</v>
      </c>
      <c r="F14" s="21" t="str">
        <f t="shared" si="1"/>
        <v>DSA 10:10 · HLD concepts 3:30 · Gen AI 5:30 · DSA 8:00 · DATABRICKS EXAM DAY · Review</v>
      </c>
      <c r="G14" s="15"/>
      <c r="H14" s="15"/>
      <c r="I14" s="15"/>
      <c r="J14" s="15"/>
      <c r="K14" s="15"/>
      <c r="L14" s="15"/>
      <c r="M14" s="16">
        <f t="shared" si="2"/>
        <v>0</v>
      </c>
      <c r="N14" s="16">
        <f t="shared" si="3"/>
        <v>6</v>
      </c>
      <c r="O14" s="15"/>
      <c r="P14" s="15"/>
      <c r="Q14" s="19"/>
    </row>
    <row r="15" spans="1:17" ht="26.4" x14ac:dyDescent="0.3">
      <c r="A15" s="13">
        <v>46319</v>
      </c>
      <c r="B15" s="14" t="s">
        <v>94</v>
      </c>
      <c r="C15" s="15"/>
      <c r="D15" s="16">
        <f>IF(C15="Yes","",ROW()-1-COUNTIF($C$2:C15,"Yes"))</f>
        <v>14</v>
      </c>
      <c r="E15" s="16">
        <f t="shared" si="0"/>
        <v>2</v>
      </c>
      <c r="F15" s="17" t="str">
        <f t="shared" si="1"/>
        <v>Contest or timed mock · Revise 2 HLD concepts · Deep dive (Kafka, hashing...) · Gen AI catch-up</v>
      </c>
      <c r="G15" s="15"/>
      <c r="H15" s="15"/>
      <c r="I15" s="15"/>
      <c r="J15" s="18" t="s">
        <v>88</v>
      </c>
      <c r="K15" s="15"/>
      <c r="L15" s="18" t="s">
        <v>88</v>
      </c>
      <c r="M15" s="16">
        <f t="shared" si="2"/>
        <v>0</v>
      </c>
      <c r="N15" s="16">
        <f t="shared" si="3"/>
        <v>4</v>
      </c>
      <c r="O15" s="15"/>
      <c r="P15" s="15"/>
      <c r="Q15" s="19"/>
    </row>
    <row r="16" spans="1:17" ht="26.4" x14ac:dyDescent="0.3">
      <c r="A16" s="13">
        <v>46320</v>
      </c>
      <c r="B16" s="14" t="s">
        <v>87</v>
      </c>
      <c r="C16" s="15"/>
      <c r="D16" s="16">
        <f>IF(C16="Yes","",ROW()-1-COUNTIF($C$2:C16,"Yes"))</f>
        <v>15</v>
      </c>
      <c r="E16" s="16">
        <f t="shared" si="0"/>
        <v>3</v>
      </c>
      <c r="F16" s="17" t="str">
        <f t="shared" si="1"/>
        <v>Re-solve the week’s hardest · Revise LLD concepts · Read mistakes log · Half day off</v>
      </c>
      <c r="G16" s="15"/>
      <c r="H16" s="15"/>
      <c r="I16" s="18" t="s">
        <v>88</v>
      </c>
      <c r="J16" s="18" t="s">
        <v>88</v>
      </c>
      <c r="K16" s="18" t="s">
        <v>88</v>
      </c>
      <c r="L16" s="15"/>
      <c r="M16" s="16">
        <f t="shared" si="2"/>
        <v>0</v>
      </c>
      <c r="N16" s="16">
        <f t="shared" si="3"/>
        <v>3</v>
      </c>
      <c r="O16" s="15"/>
      <c r="P16" s="15"/>
      <c r="Q16" s="19"/>
    </row>
    <row r="17" spans="1:17" ht="26.4" x14ac:dyDescent="0.3">
      <c r="A17" s="20">
        <v>46321</v>
      </c>
      <c r="B17" s="16" t="s">
        <v>89</v>
      </c>
      <c r="C17" s="15"/>
      <c r="D17" s="16">
        <f>IF(C17="Yes","",ROW()-1-COUNTIF($C$2:C17,"Yes"))</f>
        <v>16</v>
      </c>
      <c r="E17" s="16">
        <f t="shared" si="0"/>
        <v>3</v>
      </c>
      <c r="F17" s="21" t="str">
        <f t="shared" si="1"/>
        <v>DSA 10:10 · HLD concepts 3:30 · Gen AI 5:30 · DSA 8:00 · Behavioral story + Gen AI hands-on · Review</v>
      </c>
      <c r="G17" s="15"/>
      <c r="H17" s="15"/>
      <c r="I17" s="15"/>
      <c r="J17" s="15"/>
      <c r="K17" s="15"/>
      <c r="L17" s="15"/>
      <c r="M17" s="16">
        <f t="shared" si="2"/>
        <v>0</v>
      </c>
      <c r="N17" s="16">
        <f t="shared" si="3"/>
        <v>6</v>
      </c>
      <c r="O17" s="15"/>
      <c r="P17" s="15"/>
      <c r="Q17" s="19"/>
    </row>
    <row r="18" spans="1:17" ht="26.4" x14ac:dyDescent="0.3">
      <c r="A18" s="20">
        <v>46322</v>
      </c>
      <c r="B18" s="16" t="s">
        <v>90</v>
      </c>
      <c r="C18" s="15"/>
      <c r="D18" s="16">
        <f>IF(C18="Yes","",ROW()-1-COUNTIF($C$2:C18,"Yes"))</f>
        <v>17</v>
      </c>
      <c r="E18" s="16">
        <f t="shared" si="0"/>
        <v>3</v>
      </c>
      <c r="F18" s="21" t="str">
        <f t="shared" si="1"/>
        <v>DSA 10:10 · LLD concepts 3:30 · Gen AI 5:30 · DSA 8:00 · Behavioral story + Gen AI hands-on · Review</v>
      </c>
      <c r="G18" s="15"/>
      <c r="H18" s="15"/>
      <c r="I18" s="15"/>
      <c r="J18" s="15"/>
      <c r="K18" s="15"/>
      <c r="L18" s="15"/>
      <c r="M18" s="16">
        <f t="shared" si="2"/>
        <v>0</v>
      </c>
      <c r="N18" s="16">
        <f t="shared" si="3"/>
        <v>6</v>
      </c>
      <c r="O18" s="15"/>
      <c r="P18" s="15"/>
      <c r="Q18" s="19"/>
    </row>
    <row r="19" spans="1:17" ht="26.4" x14ac:dyDescent="0.3">
      <c r="A19" s="20">
        <v>46323</v>
      </c>
      <c r="B19" s="16" t="s">
        <v>91</v>
      </c>
      <c r="C19" s="15"/>
      <c r="D19" s="16">
        <f>IF(C19="Yes","",ROW()-1-COUNTIF($C$2:C19,"Yes"))</f>
        <v>18</v>
      </c>
      <c r="E19" s="16">
        <f t="shared" si="0"/>
        <v>3</v>
      </c>
      <c r="F19" s="21" t="str">
        <f t="shared" si="1"/>
        <v>DSA 10:10 · HLD concepts 3:30 · Gen AI 5:30 · DSA 8:00 · Behavioral story + Gen AI hands-on · Review</v>
      </c>
      <c r="G19" s="15"/>
      <c r="H19" s="15"/>
      <c r="I19" s="15"/>
      <c r="J19" s="15"/>
      <c r="K19" s="15"/>
      <c r="L19" s="15"/>
      <c r="M19" s="16">
        <f t="shared" si="2"/>
        <v>0</v>
      </c>
      <c r="N19" s="16">
        <f t="shared" si="3"/>
        <v>6</v>
      </c>
      <c r="O19" s="15"/>
      <c r="P19" s="15"/>
      <c r="Q19" s="19"/>
    </row>
    <row r="20" spans="1:17" ht="26.4" x14ac:dyDescent="0.3">
      <c r="A20" s="20">
        <v>46324</v>
      </c>
      <c r="B20" s="16" t="s">
        <v>92</v>
      </c>
      <c r="C20" s="15"/>
      <c r="D20" s="16">
        <f>IF(C20="Yes","",ROW()-1-COUNTIF($C$2:C20,"Yes"))</f>
        <v>19</v>
      </c>
      <c r="E20" s="16">
        <f t="shared" si="0"/>
        <v>3</v>
      </c>
      <c r="F20" s="21" t="str">
        <f t="shared" si="1"/>
        <v>DSA 10:10 · LLD concepts 3:30 · Gen AI 5:30 · DSA 8:00 · Behavioral story + Gen AI hands-on · Review</v>
      </c>
      <c r="G20" s="15"/>
      <c r="H20" s="15"/>
      <c r="I20" s="15"/>
      <c r="J20" s="15"/>
      <c r="K20" s="15"/>
      <c r="L20" s="15"/>
      <c r="M20" s="16">
        <f t="shared" si="2"/>
        <v>0</v>
      </c>
      <c r="N20" s="16">
        <f t="shared" si="3"/>
        <v>6</v>
      </c>
      <c r="O20" s="15"/>
      <c r="P20" s="15"/>
      <c r="Q20" s="19"/>
    </row>
    <row r="21" spans="1:17" ht="26.4" x14ac:dyDescent="0.3">
      <c r="A21" s="20">
        <v>46325</v>
      </c>
      <c r="B21" s="16" t="s">
        <v>93</v>
      </c>
      <c r="C21" s="15"/>
      <c r="D21" s="16">
        <f>IF(C21="Yes","",ROW()-1-COUNTIF($C$2:C21,"Yes"))</f>
        <v>20</v>
      </c>
      <c r="E21" s="16">
        <f t="shared" si="0"/>
        <v>3</v>
      </c>
      <c r="F21" s="21" t="str">
        <f t="shared" si="1"/>
        <v>DSA 10:10 · HLD concepts 3:30 · Gen AI 5:30 · DSA 8:00 · Behavioral story + Gen AI hands-on · Review</v>
      </c>
      <c r="G21" s="15"/>
      <c r="H21" s="15"/>
      <c r="I21" s="15"/>
      <c r="J21" s="15"/>
      <c r="K21" s="15"/>
      <c r="L21" s="15"/>
      <c r="M21" s="16">
        <f t="shared" si="2"/>
        <v>0</v>
      </c>
      <c r="N21" s="16">
        <f t="shared" si="3"/>
        <v>6</v>
      </c>
      <c r="O21" s="15"/>
      <c r="P21" s="15"/>
      <c r="Q21" s="19"/>
    </row>
    <row r="22" spans="1:17" ht="26.4" x14ac:dyDescent="0.3">
      <c r="A22" s="13">
        <v>46326</v>
      </c>
      <c r="B22" s="14" t="s">
        <v>94</v>
      </c>
      <c r="C22" s="15"/>
      <c r="D22" s="16">
        <f>IF(C22="Yes","",ROW()-1-COUNTIF($C$2:C22,"Yes"))</f>
        <v>21</v>
      </c>
      <c r="E22" s="16">
        <f t="shared" si="0"/>
        <v>3</v>
      </c>
      <c r="F22" s="17" t="str">
        <f t="shared" si="1"/>
        <v>Contest or timed mock · Revise 2 HLD concepts · Deep dive (Kafka, hashing...) · Gen AI catch-up</v>
      </c>
      <c r="G22" s="15"/>
      <c r="H22" s="15"/>
      <c r="I22" s="15"/>
      <c r="J22" s="18" t="s">
        <v>88</v>
      </c>
      <c r="K22" s="15"/>
      <c r="L22" s="18" t="s">
        <v>88</v>
      </c>
      <c r="M22" s="16">
        <f t="shared" si="2"/>
        <v>0</v>
      </c>
      <c r="N22" s="16">
        <f t="shared" si="3"/>
        <v>4</v>
      </c>
      <c r="O22" s="15"/>
      <c r="P22" s="15"/>
      <c r="Q22" s="19"/>
    </row>
    <row r="23" spans="1:17" ht="26.4" x14ac:dyDescent="0.3">
      <c r="A23" s="13">
        <v>46327</v>
      </c>
      <c r="B23" s="14" t="s">
        <v>87</v>
      </c>
      <c r="C23" s="15"/>
      <c r="D23" s="16">
        <f>IF(C23="Yes","",ROW()-1-COUNTIF($C$2:C23,"Yes"))</f>
        <v>22</v>
      </c>
      <c r="E23" s="16">
        <f t="shared" si="0"/>
        <v>4</v>
      </c>
      <c r="F23" s="17" t="str">
        <f t="shared" si="1"/>
        <v>Re-solve the week’s hardest · 1 LLD design · Read mistakes log · Half day off</v>
      </c>
      <c r="G23" s="15"/>
      <c r="H23" s="15"/>
      <c r="I23" s="18" t="s">
        <v>88</v>
      </c>
      <c r="J23" s="18" t="s">
        <v>88</v>
      </c>
      <c r="K23" s="18" t="s">
        <v>88</v>
      </c>
      <c r="L23" s="15"/>
      <c r="M23" s="16">
        <f t="shared" si="2"/>
        <v>0</v>
      </c>
      <c r="N23" s="16">
        <f t="shared" si="3"/>
        <v>3</v>
      </c>
      <c r="O23" s="15"/>
      <c r="P23" s="15"/>
      <c r="Q23" s="19"/>
    </row>
    <row r="24" spans="1:17" ht="26.4" x14ac:dyDescent="0.3">
      <c r="A24" s="20">
        <v>46328</v>
      </c>
      <c r="B24" s="16" t="s">
        <v>89</v>
      </c>
      <c r="C24" s="15"/>
      <c r="D24" s="16">
        <f>IF(C24="Yes","",ROW()-1-COUNTIF($C$2:C24,"Yes"))</f>
        <v>23</v>
      </c>
      <c r="E24" s="16">
        <f t="shared" si="0"/>
        <v>4</v>
      </c>
      <c r="F24" s="21" t="str">
        <f t="shared" si="1"/>
        <v>DSA 10:10 · HLD design 3:30 · Gen AI 5:30 · DSA 8:00 · Behavioral story + Gen AI hands-on · Review</v>
      </c>
      <c r="G24" s="15"/>
      <c r="H24" s="15"/>
      <c r="I24" s="15"/>
      <c r="J24" s="15"/>
      <c r="K24" s="15"/>
      <c r="L24" s="15"/>
      <c r="M24" s="16">
        <f t="shared" si="2"/>
        <v>0</v>
      </c>
      <c r="N24" s="16">
        <f t="shared" si="3"/>
        <v>6</v>
      </c>
      <c r="O24" s="15"/>
      <c r="P24" s="15"/>
      <c r="Q24" s="19"/>
    </row>
    <row r="25" spans="1:17" ht="26.4" x14ac:dyDescent="0.3">
      <c r="A25" s="20">
        <v>46329</v>
      </c>
      <c r="B25" s="16" t="s">
        <v>90</v>
      </c>
      <c r="C25" s="15"/>
      <c r="D25" s="16">
        <f>IF(C25="Yes","",ROW()-1-COUNTIF($C$2:C25,"Yes"))</f>
        <v>24</v>
      </c>
      <c r="E25" s="16">
        <f t="shared" si="0"/>
        <v>4</v>
      </c>
      <c r="F25" s="21" t="str">
        <f t="shared" si="1"/>
        <v>DSA 10:10 · LLD design 3:30 · Gen AI 5:30 · DSA 8:00 · Behavioral story + Gen AI hands-on · Review</v>
      </c>
      <c r="G25" s="15"/>
      <c r="H25" s="15"/>
      <c r="I25" s="15"/>
      <c r="J25" s="15"/>
      <c r="K25" s="15"/>
      <c r="L25" s="15"/>
      <c r="M25" s="16">
        <f t="shared" si="2"/>
        <v>0</v>
      </c>
      <c r="N25" s="16">
        <f t="shared" si="3"/>
        <v>6</v>
      </c>
      <c r="O25" s="15"/>
      <c r="P25" s="15"/>
      <c r="Q25" s="19"/>
    </row>
    <row r="26" spans="1:17" ht="26.4" x14ac:dyDescent="0.3">
      <c r="A26" s="20">
        <v>46330</v>
      </c>
      <c r="B26" s="16" t="s">
        <v>91</v>
      </c>
      <c r="C26" s="15"/>
      <c r="D26" s="16">
        <f>IF(C26="Yes","",ROW()-1-COUNTIF($C$2:C26,"Yes"))</f>
        <v>25</v>
      </c>
      <c r="E26" s="16">
        <f t="shared" si="0"/>
        <v>4</v>
      </c>
      <c r="F26" s="21" t="str">
        <f t="shared" si="1"/>
        <v>DSA 10:10 · HLD design 3:30 · Gen AI 5:30 · DSA 8:00 · Behavioral story + Gen AI hands-on · Review</v>
      </c>
      <c r="G26" s="15"/>
      <c r="H26" s="15"/>
      <c r="I26" s="15"/>
      <c r="J26" s="15"/>
      <c r="K26" s="15"/>
      <c r="L26" s="15"/>
      <c r="M26" s="16">
        <f t="shared" si="2"/>
        <v>0</v>
      </c>
      <c r="N26" s="16">
        <f t="shared" si="3"/>
        <v>6</v>
      </c>
      <c r="O26" s="15"/>
      <c r="P26" s="15"/>
      <c r="Q26" s="19"/>
    </row>
    <row r="27" spans="1:17" ht="26.4" x14ac:dyDescent="0.3">
      <c r="A27" s="20">
        <v>46331</v>
      </c>
      <c r="B27" s="16" t="s">
        <v>92</v>
      </c>
      <c r="C27" s="15"/>
      <c r="D27" s="16">
        <f>IF(C27="Yes","",ROW()-1-COUNTIF($C$2:C27,"Yes"))</f>
        <v>26</v>
      </c>
      <c r="E27" s="16">
        <f t="shared" si="0"/>
        <v>4</v>
      </c>
      <c r="F27" s="21" t="str">
        <f t="shared" si="1"/>
        <v>DSA 10:10 · LLD design 3:30 · Gen AI 5:30 · DSA 8:00 · Behavioral story + Gen AI hands-on · Review</v>
      </c>
      <c r="G27" s="15"/>
      <c r="H27" s="15"/>
      <c r="I27" s="15"/>
      <c r="J27" s="15"/>
      <c r="K27" s="15"/>
      <c r="L27" s="15"/>
      <c r="M27" s="16">
        <f t="shared" si="2"/>
        <v>0</v>
      </c>
      <c r="N27" s="16">
        <f t="shared" si="3"/>
        <v>6</v>
      </c>
      <c r="O27" s="15"/>
      <c r="P27" s="15"/>
      <c r="Q27" s="19"/>
    </row>
    <row r="28" spans="1:17" ht="26.4" x14ac:dyDescent="0.3">
      <c r="A28" s="20">
        <v>46332</v>
      </c>
      <c r="B28" s="16" t="s">
        <v>93</v>
      </c>
      <c r="C28" s="15"/>
      <c r="D28" s="16">
        <f>IF(C28="Yes","",ROW()-1-COUNTIF($C$2:C28,"Yes"))</f>
        <v>27</v>
      </c>
      <c r="E28" s="16">
        <f t="shared" si="0"/>
        <v>4</v>
      </c>
      <c r="F28" s="21" t="str">
        <f t="shared" si="1"/>
        <v>DSA 10:10 · HLD design 3:30 · Gen AI 5:30 · DSA 8:00 · Behavioral story + Gen AI hands-on · Review</v>
      </c>
      <c r="G28" s="15"/>
      <c r="H28" s="15"/>
      <c r="I28" s="15"/>
      <c r="J28" s="15"/>
      <c r="K28" s="15"/>
      <c r="L28" s="15"/>
      <c r="M28" s="16">
        <f t="shared" si="2"/>
        <v>0</v>
      </c>
      <c r="N28" s="16">
        <f t="shared" si="3"/>
        <v>6</v>
      </c>
      <c r="O28" s="15"/>
      <c r="P28" s="15"/>
      <c r="Q28" s="19"/>
    </row>
    <row r="29" spans="1:17" ht="26.4" x14ac:dyDescent="0.3">
      <c r="A29" s="13">
        <v>46333</v>
      </c>
      <c r="B29" s="14" t="s">
        <v>94</v>
      </c>
      <c r="C29" s="15"/>
      <c r="D29" s="16">
        <f>IF(C29="Yes","",ROW()-1-COUNTIF($C$2:C29,"Yes"))</f>
        <v>28</v>
      </c>
      <c r="E29" s="16">
        <f t="shared" si="0"/>
        <v>4</v>
      </c>
      <c r="F29" s="17" t="str">
        <f t="shared" si="1"/>
        <v>Contest or timed mock · 2 full HLD designs · Deep dive (Kafka, hashing...) · Gen AI catch-up</v>
      </c>
      <c r="G29" s="15"/>
      <c r="H29" s="15"/>
      <c r="I29" s="15"/>
      <c r="J29" s="18" t="s">
        <v>88</v>
      </c>
      <c r="K29" s="15"/>
      <c r="L29" s="18" t="s">
        <v>88</v>
      </c>
      <c r="M29" s="16">
        <f t="shared" si="2"/>
        <v>0</v>
      </c>
      <c r="N29" s="16">
        <f t="shared" si="3"/>
        <v>4</v>
      </c>
      <c r="O29" s="15"/>
      <c r="P29" s="15"/>
      <c r="Q29" s="19"/>
    </row>
    <row r="30" spans="1:17" ht="26.4" x14ac:dyDescent="0.3">
      <c r="A30" s="13">
        <v>46334</v>
      </c>
      <c r="B30" s="14" t="s">
        <v>87</v>
      </c>
      <c r="C30" s="15"/>
      <c r="D30" s="16">
        <f>IF(C30="Yes","",ROW()-1-COUNTIF($C$2:C30,"Yes"))</f>
        <v>29</v>
      </c>
      <c r="E30" s="16">
        <f t="shared" si="0"/>
        <v>5</v>
      </c>
      <c r="F30" s="17" t="str">
        <f t="shared" si="1"/>
        <v>Re-solve the week’s hardest · 1 LLD design · Read mistakes log · Half day off</v>
      </c>
      <c r="G30" s="15"/>
      <c r="H30" s="15"/>
      <c r="I30" s="18" t="s">
        <v>88</v>
      </c>
      <c r="J30" s="18" t="s">
        <v>88</v>
      </c>
      <c r="K30" s="18" t="s">
        <v>88</v>
      </c>
      <c r="L30" s="15"/>
      <c r="M30" s="16">
        <f t="shared" si="2"/>
        <v>0</v>
      </c>
      <c r="N30" s="16">
        <f t="shared" si="3"/>
        <v>3</v>
      </c>
      <c r="O30" s="15"/>
      <c r="P30" s="15"/>
      <c r="Q30" s="19"/>
    </row>
    <row r="31" spans="1:17" ht="26.4" x14ac:dyDescent="0.3">
      <c r="A31" s="20">
        <v>46335</v>
      </c>
      <c r="B31" s="16" t="s">
        <v>89</v>
      </c>
      <c r="C31" s="15"/>
      <c r="D31" s="16">
        <f>IF(C31="Yes","",ROW()-1-COUNTIF($C$2:C31,"Yes"))</f>
        <v>30</v>
      </c>
      <c r="E31" s="16">
        <f t="shared" si="0"/>
        <v>5</v>
      </c>
      <c r="F31" s="21" t="str">
        <f t="shared" si="1"/>
        <v>DSA 10:10 · HLD design 3:30 · Gen AI 5:30 · DSA 8:00 · Behavioral story + Gen AI hands-on · Review</v>
      </c>
      <c r="G31" s="15"/>
      <c r="H31" s="15"/>
      <c r="I31" s="15"/>
      <c r="J31" s="15"/>
      <c r="K31" s="15"/>
      <c r="L31" s="15"/>
      <c r="M31" s="16">
        <f t="shared" si="2"/>
        <v>0</v>
      </c>
      <c r="N31" s="16">
        <f t="shared" si="3"/>
        <v>6</v>
      </c>
      <c r="O31" s="15"/>
      <c r="P31" s="15"/>
      <c r="Q31" s="19"/>
    </row>
    <row r="32" spans="1:17" ht="26.4" x14ac:dyDescent="0.3">
      <c r="A32" s="20">
        <v>46336</v>
      </c>
      <c r="B32" s="16" t="s">
        <v>90</v>
      </c>
      <c r="C32" s="15"/>
      <c r="D32" s="16">
        <f>IF(C32="Yes","",ROW()-1-COUNTIF($C$2:C32,"Yes"))</f>
        <v>31</v>
      </c>
      <c r="E32" s="16">
        <f t="shared" si="0"/>
        <v>5</v>
      </c>
      <c r="F32" s="21" t="str">
        <f t="shared" si="1"/>
        <v>DSA 10:10 · LLD design 3:30 · Gen AI 5:30 · DSA 8:00 · Behavioral story + Gen AI hands-on · Review</v>
      </c>
      <c r="G32" s="15"/>
      <c r="H32" s="15"/>
      <c r="I32" s="15"/>
      <c r="J32" s="15"/>
      <c r="K32" s="15"/>
      <c r="L32" s="15"/>
      <c r="M32" s="16">
        <f t="shared" si="2"/>
        <v>0</v>
      </c>
      <c r="N32" s="16">
        <f t="shared" si="3"/>
        <v>6</v>
      </c>
      <c r="O32" s="15"/>
      <c r="P32" s="15"/>
      <c r="Q32" s="19"/>
    </row>
    <row r="33" spans="1:17" ht="26.4" x14ac:dyDescent="0.3">
      <c r="A33" s="20">
        <v>46337</v>
      </c>
      <c r="B33" s="16" t="s">
        <v>91</v>
      </c>
      <c r="C33" s="15"/>
      <c r="D33" s="16">
        <f>IF(C33="Yes","",ROW()-1-COUNTIF($C$2:C33,"Yes"))</f>
        <v>32</v>
      </c>
      <c r="E33" s="16">
        <f t="shared" si="0"/>
        <v>5</v>
      </c>
      <c r="F33" s="21" t="str">
        <f t="shared" si="1"/>
        <v>DSA 10:10 · HLD design 3:30 · Gen AI 5:30 · DSA 8:00 · Behavioral story + Gen AI hands-on · Review</v>
      </c>
      <c r="G33" s="15"/>
      <c r="H33" s="15"/>
      <c r="I33" s="15"/>
      <c r="J33" s="15"/>
      <c r="K33" s="15"/>
      <c r="L33" s="15"/>
      <c r="M33" s="16">
        <f t="shared" si="2"/>
        <v>0</v>
      </c>
      <c r="N33" s="16">
        <f t="shared" si="3"/>
        <v>6</v>
      </c>
      <c r="O33" s="15"/>
      <c r="P33" s="15"/>
      <c r="Q33" s="19"/>
    </row>
    <row r="34" spans="1:17" ht="26.4" x14ac:dyDescent="0.3">
      <c r="A34" s="20">
        <v>46338</v>
      </c>
      <c r="B34" s="16" t="s">
        <v>92</v>
      </c>
      <c r="C34" s="15"/>
      <c r="D34" s="16">
        <f>IF(C34="Yes","",ROW()-1-COUNTIF($C$2:C34,"Yes"))</f>
        <v>33</v>
      </c>
      <c r="E34" s="16">
        <f t="shared" ref="E34:E65" si="4">IF(C34="Yes","",IF(D34&gt;57,"Buffer",MIN(8,INT((D34-1)/7)+1)))</f>
        <v>5</v>
      </c>
      <c r="F34" s="21" t="str">
        <f t="shared" ref="F34:F65" si="5">IF(C34="Yes","Day off: the plan shifts forward one day",IF(D34&gt;57,"Buffer: revision, weak topics, mock interviews",IF(D34=1,"Kickoff: two pointers basics + 2 easy problems · HLD intro (client-server, scaling) · Set up NeetCode list and notes",IF(WEEKDAY(A34,2)=6,"Contest or timed mock · "&amp;IF(E34&lt;=3,"Revise 2 HLD concepts","2 full HLD designs")&amp;" · Deep dive (Kafka, hashing...) · Gen AI catch-up",IF(WEEKDAY(A34,2)=7,"Re-solve the week’s hardest · "&amp;IF(E34&lt;=3,"Revise LLD concepts","1 LLD design")&amp;" · Read mistakes log · Half day off","DSA 10:10 · "&amp;IF(MOD(WEEKDAY(A34,2),2)=1,"HLD","LLD")&amp;IF(E34&lt;=3," concepts"," design")&amp;" 3:30 · Gen AI 5:30 · DSA 8:00 · "&amp;IF(A34&lt;DATE(2026,10,23),"DE practice exam",IF(A34=DATE(2026,10,23),"DATABRICKS EXAM DAY","Behavioral story + Gen AI hands-on"))&amp;" · Review")))))</f>
        <v>DSA 10:10 · LLD design 3:30 · Gen AI 5:30 · DSA 8:00 · Behavioral story + Gen AI hands-on · Review</v>
      </c>
      <c r="G34" s="15"/>
      <c r="H34" s="15"/>
      <c r="I34" s="15"/>
      <c r="J34" s="15"/>
      <c r="K34" s="15"/>
      <c r="L34" s="15"/>
      <c r="M34" s="16">
        <f t="shared" ref="M34:M65" si="6">IF(C34="Yes",0,COUNTIF(G34:L34,"Yes"))</f>
        <v>0</v>
      </c>
      <c r="N34" s="16">
        <f t="shared" ref="N34:N65" si="7">IF(C34="Yes",0,6-COUNTIF(G34:L34,"—"))</f>
        <v>6</v>
      </c>
      <c r="O34" s="15"/>
      <c r="P34" s="15"/>
      <c r="Q34" s="19"/>
    </row>
    <row r="35" spans="1:17" ht="26.4" x14ac:dyDescent="0.3">
      <c r="A35" s="20">
        <v>46339</v>
      </c>
      <c r="B35" s="16" t="s">
        <v>93</v>
      </c>
      <c r="C35" s="15"/>
      <c r="D35" s="16">
        <f>IF(C35="Yes","",ROW()-1-COUNTIF($C$2:C35,"Yes"))</f>
        <v>34</v>
      </c>
      <c r="E35" s="16">
        <f t="shared" si="4"/>
        <v>5</v>
      </c>
      <c r="F35" s="21" t="str">
        <f t="shared" si="5"/>
        <v>DSA 10:10 · HLD design 3:30 · Gen AI 5:30 · DSA 8:00 · Behavioral story + Gen AI hands-on · Review</v>
      </c>
      <c r="G35" s="15"/>
      <c r="H35" s="15"/>
      <c r="I35" s="15"/>
      <c r="J35" s="15"/>
      <c r="K35" s="15"/>
      <c r="L35" s="15"/>
      <c r="M35" s="16">
        <f t="shared" si="6"/>
        <v>0</v>
      </c>
      <c r="N35" s="16">
        <f t="shared" si="7"/>
        <v>6</v>
      </c>
      <c r="O35" s="15"/>
      <c r="P35" s="15"/>
      <c r="Q35" s="19"/>
    </row>
    <row r="36" spans="1:17" ht="26.4" x14ac:dyDescent="0.3">
      <c r="A36" s="13">
        <v>46340</v>
      </c>
      <c r="B36" s="14" t="s">
        <v>94</v>
      </c>
      <c r="C36" s="15"/>
      <c r="D36" s="16">
        <f>IF(C36="Yes","",ROW()-1-COUNTIF($C$2:C36,"Yes"))</f>
        <v>35</v>
      </c>
      <c r="E36" s="16">
        <f t="shared" si="4"/>
        <v>5</v>
      </c>
      <c r="F36" s="17" t="str">
        <f t="shared" si="5"/>
        <v>Contest or timed mock · 2 full HLD designs · Deep dive (Kafka, hashing...) · Gen AI catch-up</v>
      </c>
      <c r="G36" s="15"/>
      <c r="H36" s="15"/>
      <c r="I36" s="15"/>
      <c r="J36" s="18" t="s">
        <v>88</v>
      </c>
      <c r="K36" s="15"/>
      <c r="L36" s="18" t="s">
        <v>88</v>
      </c>
      <c r="M36" s="16">
        <f t="shared" si="6"/>
        <v>0</v>
      </c>
      <c r="N36" s="16">
        <f t="shared" si="7"/>
        <v>4</v>
      </c>
      <c r="O36" s="15"/>
      <c r="P36" s="15"/>
      <c r="Q36" s="19"/>
    </row>
    <row r="37" spans="1:17" ht="26.4" x14ac:dyDescent="0.3">
      <c r="A37" s="13">
        <v>46341</v>
      </c>
      <c r="B37" s="14" t="s">
        <v>87</v>
      </c>
      <c r="C37" s="15"/>
      <c r="D37" s="16">
        <f>IF(C37="Yes","",ROW()-1-COUNTIF($C$2:C37,"Yes"))</f>
        <v>36</v>
      </c>
      <c r="E37" s="16">
        <f t="shared" si="4"/>
        <v>6</v>
      </c>
      <c r="F37" s="17" t="str">
        <f t="shared" si="5"/>
        <v>Re-solve the week’s hardest · 1 LLD design · Read mistakes log · Half day off</v>
      </c>
      <c r="G37" s="15"/>
      <c r="H37" s="15"/>
      <c r="I37" s="18" t="s">
        <v>88</v>
      </c>
      <c r="J37" s="18" t="s">
        <v>88</v>
      </c>
      <c r="K37" s="18" t="s">
        <v>88</v>
      </c>
      <c r="L37" s="15"/>
      <c r="M37" s="16">
        <f t="shared" si="6"/>
        <v>0</v>
      </c>
      <c r="N37" s="16">
        <f t="shared" si="7"/>
        <v>3</v>
      </c>
      <c r="O37" s="15"/>
      <c r="P37" s="15"/>
      <c r="Q37" s="19"/>
    </row>
    <row r="38" spans="1:17" ht="26.4" x14ac:dyDescent="0.3">
      <c r="A38" s="20">
        <v>46342</v>
      </c>
      <c r="B38" s="16" t="s">
        <v>89</v>
      </c>
      <c r="C38" s="15"/>
      <c r="D38" s="16">
        <f>IF(C38="Yes","",ROW()-1-COUNTIF($C$2:C38,"Yes"))</f>
        <v>37</v>
      </c>
      <c r="E38" s="16">
        <f t="shared" si="4"/>
        <v>6</v>
      </c>
      <c r="F38" s="21" t="str">
        <f t="shared" si="5"/>
        <v>DSA 10:10 · HLD design 3:30 · Gen AI 5:30 · DSA 8:00 · Behavioral story + Gen AI hands-on · Review</v>
      </c>
      <c r="G38" s="15"/>
      <c r="H38" s="15"/>
      <c r="I38" s="15"/>
      <c r="J38" s="15"/>
      <c r="K38" s="15"/>
      <c r="L38" s="15"/>
      <c r="M38" s="16">
        <f t="shared" si="6"/>
        <v>0</v>
      </c>
      <c r="N38" s="16">
        <f t="shared" si="7"/>
        <v>6</v>
      </c>
      <c r="O38" s="15"/>
      <c r="P38" s="15"/>
      <c r="Q38" s="19"/>
    </row>
    <row r="39" spans="1:17" ht="26.4" x14ac:dyDescent="0.3">
      <c r="A39" s="20">
        <v>46343</v>
      </c>
      <c r="B39" s="16" t="s">
        <v>90</v>
      </c>
      <c r="C39" s="15"/>
      <c r="D39" s="16">
        <f>IF(C39="Yes","",ROW()-1-COUNTIF($C$2:C39,"Yes"))</f>
        <v>38</v>
      </c>
      <c r="E39" s="16">
        <f t="shared" si="4"/>
        <v>6</v>
      </c>
      <c r="F39" s="21" t="str">
        <f t="shared" si="5"/>
        <v>DSA 10:10 · LLD design 3:30 · Gen AI 5:30 · DSA 8:00 · Behavioral story + Gen AI hands-on · Review</v>
      </c>
      <c r="G39" s="15"/>
      <c r="H39" s="15"/>
      <c r="I39" s="15"/>
      <c r="J39" s="15"/>
      <c r="K39" s="15"/>
      <c r="L39" s="15"/>
      <c r="M39" s="16">
        <f t="shared" si="6"/>
        <v>0</v>
      </c>
      <c r="N39" s="16">
        <f t="shared" si="7"/>
        <v>6</v>
      </c>
      <c r="O39" s="15"/>
      <c r="P39" s="15"/>
      <c r="Q39" s="19"/>
    </row>
    <row r="40" spans="1:17" ht="26.4" x14ac:dyDescent="0.3">
      <c r="A40" s="20">
        <v>46344</v>
      </c>
      <c r="B40" s="16" t="s">
        <v>91</v>
      </c>
      <c r="C40" s="15"/>
      <c r="D40" s="16">
        <f>IF(C40="Yes","",ROW()-1-COUNTIF($C$2:C40,"Yes"))</f>
        <v>39</v>
      </c>
      <c r="E40" s="16">
        <f t="shared" si="4"/>
        <v>6</v>
      </c>
      <c r="F40" s="21" t="str">
        <f t="shared" si="5"/>
        <v>DSA 10:10 · HLD design 3:30 · Gen AI 5:30 · DSA 8:00 · Behavioral story + Gen AI hands-on · Review</v>
      </c>
      <c r="G40" s="15"/>
      <c r="H40" s="15"/>
      <c r="I40" s="15"/>
      <c r="J40" s="15"/>
      <c r="K40" s="15"/>
      <c r="L40" s="15"/>
      <c r="M40" s="16">
        <f t="shared" si="6"/>
        <v>0</v>
      </c>
      <c r="N40" s="16">
        <f t="shared" si="7"/>
        <v>6</v>
      </c>
      <c r="O40" s="15"/>
      <c r="P40" s="15"/>
      <c r="Q40" s="19"/>
    </row>
    <row r="41" spans="1:17" ht="26.4" x14ac:dyDescent="0.3">
      <c r="A41" s="20">
        <v>46345</v>
      </c>
      <c r="B41" s="16" t="s">
        <v>92</v>
      </c>
      <c r="C41" s="15"/>
      <c r="D41" s="16">
        <f>IF(C41="Yes","",ROW()-1-COUNTIF($C$2:C41,"Yes"))</f>
        <v>40</v>
      </c>
      <c r="E41" s="16">
        <f t="shared" si="4"/>
        <v>6</v>
      </c>
      <c r="F41" s="21" t="str">
        <f t="shared" si="5"/>
        <v>DSA 10:10 · LLD design 3:30 · Gen AI 5:30 · DSA 8:00 · Behavioral story + Gen AI hands-on · Review</v>
      </c>
      <c r="G41" s="15"/>
      <c r="H41" s="15"/>
      <c r="I41" s="15"/>
      <c r="J41" s="15"/>
      <c r="K41" s="15"/>
      <c r="L41" s="15"/>
      <c r="M41" s="16">
        <f t="shared" si="6"/>
        <v>0</v>
      </c>
      <c r="N41" s="16">
        <f t="shared" si="7"/>
        <v>6</v>
      </c>
      <c r="O41" s="15"/>
      <c r="P41" s="15"/>
      <c r="Q41" s="19"/>
    </row>
    <row r="42" spans="1:17" ht="26.4" x14ac:dyDescent="0.3">
      <c r="A42" s="20">
        <v>46346</v>
      </c>
      <c r="B42" s="16" t="s">
        <v>93</v>
      </c>
      <c r="C42" s="15"/>
      <c r="D42" s="16">
        <f>IF(C42="Yes","",ROW()-1-COUNTIF($C$2:C42,"Yes"))</f>
        <v>41</v>
      </c>
      <c r="E42" s="16">
        <f t="shared" si="4"/>
        <v>6</v>
      </c>
      <c r="F42" s="21" t="str">
        <f t="shared" si="5"/>
        <v>DSA 10:10 · HLD design 3:30 · Gen AI 5:30 · DSA 8:00 · Behavioral story + Gen AI hands-on · Review</v>
      </c>
      <c r="G42" s="15"/>
      <c r="H42" s="15"/>
      <c r="I42" s="15"/>
      <c r="J42" s="15"/>
      <c r="K42" s="15"/>
      <c r="L42" s="15"/>
      <c r="M42" s="16">
        <f t="shared" si="6"/>
        <v>0</v>
      </c>
      <c r="N42" s="16">
        <f t="shared" si="7"/>
        <v>6</v>
      </c>
      <c r="O42" s="15"/>
      <c r="P42" s="15"/>
      <c r="Q42" s="19"/>
    </row>
    <row r="43" spans="1:17" ht="26.4" x14ac:dyDescent="0.3">
      <c r="A43" s="13">
        <v>46347</v>
      </c>
      <c r="B43" s="14" t="s">
        <v>94</v>
      </c>
      <c r="C43" s="15"/>
      <c r="D43" s="16">
        <f>IF(C43="Yes","",ROW()-1-COUNTIF($C$2:C43,"Yes"))</f>
        <v>42</v>
      </c>
      <c r="E43" s="16">
        <f t="shared" si="4"/>
        <v>6</v>
      </c>
      <c r="F43" s="17" t="str">
        <f t="shared" si="5"/>
        <v>Contest or timed mock · 2 full HLD designs · Deep dive (Kafka, hashing...) · Gen AI catch-up</v>
      </c>
      <c r="G43" s="15"/>
      <c r="H43" s="15"/>
      <c r="I43" s="15"/>
      <c r="J43" s="18" t="s">
        <v>88</v>
      </c>
      <c r="K43" s="15"/>
      <c r="L43" s="18" t="s">
        <v>88</v>
      </c>
      <c r="M43" s="16">
        <f t="shared" si="6"/>
        <v>0</v>
      </c>
      <c r="N43" s="16">
        <f t="shared" si="7"/>
        <v>4</v>
      </c>
      <c r="O43" s="15"/>
      <c r="P43" s="15"/>
      <c r="Q43" s="19"/>
    </row>
    <row r="44" spans="1:17" ht="26.4" x14ac:dyDescent="0.3">
      <c r="A44" s="13">
        <v>46348</v>
      </c>
      <c r="B44" s="14" t="s">
        <v>87</v>
      </c>
      <c r="C44" s="15"/>
      <c r="D44" s="16">
        <f>IF(C44="Yes","",ROW()-1-COUNTIF($C$2:C44,"Yes"))</f>
        <v>43</v>
      </c>
      <c r="E44" s="16">
        <f t="shared" si="4"/>
        <v>7</v>
      </c>
      <c r="F44" s="17" t="str">
        <f t="shared" si="5"/>
        <v>Re-solve the week’s hardest · 1 LLD design · Read mistakes log · Half day off</v>
      </c>
      <c r="G44" s="15"/>
      <c r="H44" s="15"/>
      <c r="I44" s="18" t="s">
        <v>88</v>
      </c>
      <c r="J44" s="18" t="s">
        <v>88</v>
      </c>
      <c r="K44" s="18" t="s">
        <v>88</v>
      </c>
      <c r="L44" s="15"/>
      <c r="M44" s="16">
        <f t="shared" si="6"/>
        <v>0</v>
      </c>
      <c r="N44" s="16">
        <f t="shared" si="7"/>
        <v>3</v>
      </c>
      <c r="O44" s="15"/>
      <c r="P44" s="15"/>
      <c r="Q44" s="19"/>
    </row>
    <row r="45" spans="1:17" ht="26.4" x14ac:dyDescent="0.3">
      <c r="A45" s="20">
        <v>46349</v>
      </c>
      <c r="B45" s="16" t="s">
        <v>89</v>
      </c>
      <c r="C45" s="15"/>
      <c r="D45" s="16">
        <f>IF(C45="Yes","",ROW()-1-COUNTIF($C$2:C45,"Yes"))</f>
        <v>44</v>
      </c>
      <c r="E45" s="16">
        <f t="shared" si="4"/>
        <v>7</v>
      </c>
      <c r="F45" s="21" t="str">
        <f t="shared" si="5"/>
        <v>DSA 10:10 · HLD design 3:30 · Gen AI 5:30 · DSA 8:00 · Behavioral story + Gen AI hands-on · Review</v>
      </c>
      <c r="G45" s="15"/>
      <c r="H45" s="15"/>
      <c r="I45" s="15"/>
      <c r="J45" s="15"/>
      <c r="K45" s="15"/>
      <c r="L45" s="15"/>
      <c r="M45" s="16">
        <f t="shared" si="6"/>
        <v>0</v>
      </c>
      <c r="N45" s="16">
        <f t="shared" si="7"/>
        <v>6</v>
      </c>
      <c r="O45" s="15"/>
      <c r="P45" s="15"/>
      <c r="Q45" s="19"/>
    </row>
    <row r="46" spans="1:17" ht="26.4" x14ac:dyDescent="0.3">
      <c r="A46" s="20">
        <v>46350</v>
      </c>
      <c r="B46" s="16" t="s">
        <v>90</v>
      </c>
      <c r="C46" s="15"/>
      <c r="D46" s="16">
        <f>IF(C46="Yes","",ROW()-1-COUNTIF($C$2:C46,"Yes"))</f>
        <v>45</v>
      </c>
      <c r="E46" s="16">
        <f t="shared" si="4"/>
        <v>7</v>
      </c>
      <c r="F46" s="21" t="str">
        <f t="shared" si="5"/>
        <v>DSA 10:10 · LLD design 3:30 · Gen AI 5:30 · DSA 8:00 · Behavioral story + Gen AI hands-on · Review</v>
      </c>
      <c r="G46" s="15"/>
      <c r="H46" s="15"/>
      <c r="I46" s="15"/>
      <c r="J46" s="15"/>
      <c r="K46" s="15"/>
      <c r="L46" s="15"/>
      <c r="M46" s="16">
        <f t="shared" si="6"/>
        <v>0</v>
      </c>
      <c r="N46" s="16">
        <f t="shared" si="7"/>
        <v>6</v>
      </c>
      <c r="O46" s="15"/>
      <c r="P46" s="15"/>
      <c r="Q46" s="19"/>
    </row>
    <row r="47" spans="1:17" ht="26.4" x14ac:dyDescent="0.3">
      <c r="A47" s="20">
        <v>46351</v>
      </c>
      <c r="B47" s="16" t="s">
        <v>91</v>
      </c>
      <c r="C47" s="15"/>
      <c r="D47" s="16">
        <f>IF(C47="Yes","",ROW()-1-COUNTIF($C$2:C47,"Yes"))</f>
        <v>46</v>
      </c>
      <c r="E47" s="16">
        <f t="shared" si="4"/>
        <v>7</v>
      </c>
      <c r="F47" s="21" t="str">
        <f t="shared" si="5"/>
        <v>DSA 10:10 · HLD design 3:30 · Gen AI 5:30 · DSA 8:00 · Behavioral story + Gen AI hands-on · Review</v>
      </c>
      <c r="G47" s="15"/>
      <c r="H47" s="15"/>
      <c r="I47" s="15"/>
      <c r="J47" s="15"/>
      <c r="K47" s="15"/>
      <c r="L47" s="15"/>
      <c r="M47" s="16">
        <f t="shared" si="6"/>
        <v>0</v>
      </c>
      <c r="N47" s="16">
        <f t="shared" si="7"/>
        <v>6</v>
      </c>
      <c r="O47" s="15"/>
      <c r="P47" s="15"/>
      <c r="Q47" s="19"/>
    </row>
    <row r="48" spans="1:17" ht="26.4" x14ac:dyDescent="0.3">
      <c r="A48" s="20">
        <v>46352</v>
      </c>
      <c r="B48" s="16" t="s">
        <v>92</v>
      </c>
      <c r="C48" s="15"/>
      <c r="D48" s="16">
        <f>IF(C48="Yes","",ROW()-1-COUNTIF($C$2:C48,"Yes"))</f>
        <v>47</v>
      </c>
      <c r="E48" s="16">
        <f t="shared" si="4"/>
        <v>7</v>
      </c>
      <c r="F48" s="21" t="str">
        <f t="shared" si="5"/>
        <v>DSA 10:10 · LLD design 3:30 · Gen AI 5:30 · DSA 8:00 · Behavioral story + Gen AI hands-on · Review</v>
      </c>
      <c r="G48" s="15"/>
      <c r="H48" s="15"/>
      <c r="I48" s="15"/>
      <c r="J48" s="15"/>
      <c r="K48" s="15"/>
      <c r="L48" s="15"/>
      <c r="M48" s="16">
        <f t="shared" si="6"/>
        <v>0</v>
      </c>
      <c r="N48" s="16">
        <f t="shared" si="7"/>
        <v>6</v>
      </c>
      <c r="O48" s="15"/>
      <c r="P48" s="15"/>
      <c r="Q48" s="19"/>
    </row>
    <row r="49" spans="1:17" ht="26.4" x14ac:dyDescent="0.3">
      <c r="A49" s="20">
        <v>46353</v>
      </c>
      <c r="B49" s="16" t="s">
        <v>93</v>
      </c>
      <c r="C49" s="15"/>
      <c r="D49" s="16">
        <f>IF(C49="Yes","",ROW()-1-COUNTIF($C$2:C49,"Yes"))</f>
        <v>48</v>
      </c>
      <c r="E49" s="16">
        <f t="shared" si="4"/>
        <v>7</v>
      </c>
      <c r="F49" s="21" t="str">
        <f t="shared" si="5"/>
        <v>DSA 10:10 · HLD design 3:30 · Gen AI 5:30 · DSA 8:00 · Behavioral story + Gen AI hands-on · Review</v>
      </c>
      <c r="G49" s="15"/>
      <c r="H49" s="15"/>
      <c r="I49" s="15"/>
      <c r="J49" s="15"/>
      <c r="K49" s="15"/>
      <c r="L49" s="15"/>
      <c r="M49" s="16">
        <f t="shared" si="6"/>
        <v>0</v>
      </c>
      <c r="N49" s="16">
        <f t="shared" si="7"/>
        <v>6</v>
      </c>
      <c r="O49" s="15"/>
      <c r="P49" s="15"/>
      <c r="Q49" s="19"/>
    </row>
    <row r="50" spans="1:17" ht="26.4" x14ac:dyDescent="0.3">
      <c r="A50" s="13">
        <v>46354</v>
      </c>
      <c r="B50" s="14" t="s">
        <v>94</v>
      </c>
      <c r="C50" s="15"/>
      <c r="D50" s="16">
        <f>IF(C50="Yes","",ROW()-1-COUNTIF($C$2:C50,"Yes"))</f>
        <v>49</v>
      </c>
      <c r="E50" s="16">
        <f t="shared" si="4"/>
        <v>7</v>
      </c>
      <c r="F50" s="17" t="str">
        <f t="shared" si="5"/>
        <v>Contest or timed mock · 2 full HLD designs · Deep dive (Kafka, hashing...) · Gen AI catch-up</v>
      </c>
      <c r="G50" s="15"/>
      <c r="H50" s="15"/>
      <c r="I50" s="15"/>
      <c r="J50" s="18" t="s">
        <v>88</v>
      </c>
      <c r="K50" s="15"/>
      <c r="L50" s="18" t="s">
        <v>88</v>
      </c>
      <c r="M50" s="16">
        <f t="shared" si="6"/>
        <v>0</v>
      </c>
      <c r="N50" s="16">
        <f t="shared" si="7"/>
        <v>4</v>
      </c>
      <c r="O50" s="15"/>
      <c r="P50" s="15"/>
      <c r="Q50" s="19"/>
    </row>
    <row r="51" spans="1:17" ht="26.4" x14ac:dyDescent="0.3">
      <c r="A51" s="13">
        <v>46355</v>
      </c>
      <c r="B51" s="14" t="s">
        <v>87</v>
      </c>
      <c r="C51" s="15"/>
      <c r="D51" s="16">
        <f>IF(C51="Yes","",ROW()-1-COUNTIF($C$2:C51,"Yes"))</f>
        <v>50</v>
      </c>
      <c r="E51" s="16">
        <f t="shared" si="4"/>
        <v>8</v>
      </c>
      <c r="F51" s="17" t="str">
        <f t="shared" si="5"/>
        <v>Re-solve the week’s hardest · 1 LLD design · Read mistakes log · Half day off</v>
      </c>
      <c r="G51" s="15"/>
      <c r="H51" s="15"/>
      <c r="I51" s="18" t="s">
        <v>88</v>
      </c>
      <c r="J51" s="18" t="s">
        <v>88</v>
      </c>
      <c r="K51" s="18" t="s">
        <v>88</v>
      </c>
      <c r="L51" s="15"/>
      <c r="M51" s="16">
        <f t="shared" si="6"/>
        <v>0</v>
      </c>
      <c r="N51" s="16">
        <f t="shared" si="7"/>
        <v>3</v>
      </c>
      <c r="O51" s="15"/>
      <c r="P51" s="15"/>
      <c r="Q51" s="19"/>
    </row>
    <row r="52" spans="1:17" ht="26.4" x14ac:dyDescent="0.3">
      <c r="A52" s="20">
        <v>46356</v>
      </c>
      <c r="B52" s="16" t="s">
        <v>89</v>
      </c>
      <c r="C52" s="15"/>
      <c r="D52" s="16">
        <f>IF(C52="Yes","",ROW()-1-COUNTIF($C$2:C52,"Yes"))</f>
        <v>51</v>
      </c>
      <c r="E52" s="16">
        <f t="shared" si="4"/>
        <v>8</v>
      </c>
      <c r="F52" s="21" t="str">
        <f t="shared" si="5"/>
        <v>DSA 10:10 · HLD design 3:30 · Gen AI 5:30 · DSA 8:00 · Behavioral story + Gen AI hands-on · Review</v>
      </c>
      <c r="G52" s="15"/>
      <c r="H52" s="15"/>
      <c r="I52" s="15"/>
      <c r="J52" s="15"/>
      <c r="K52" s="15"/>
      <c r="L52" s="15"/>
      <c r="M52" s="16">
        <f t="shared" si="6"/>
        <v>0</v>
      </c>
      <c r="N52" s="16">
        <f t="shared" si="7"/>
        <v>6</v>
      </c>
      <c r="O52" s="15"/>
      <c r="P52" s="15"/>
      <c r="Q52" s="19"/>
    </row>
    <row r="53" spans="1:17" ht="26.4" x14ac:dyDescent="0.3">
      <c r="A53" s="20">
        <v>46357</v>
      </c>
      <c r="B53" s="16" t="s">
        <v>90</v>
      </c>
      <c r="C53" s="15"/>
      <c r="D53" s="16">
        <f>IF(C53="Yes","",ROW()-1-COUNTIF($C$2:C53,"Yes"))</f>
        <v>52</v>
      </c>
      <c r="E53" s="16">
        <f t="shared" si="4"/>
        <v>8</v>
      </c>
      <c r="F53" s="21" t="str">
        <f t="shared" si="5"/>
        <v>DSA 10:10 · LLD design 3:30 · Gen AI 5:30 · DSA 8:00 · Behavioral story + Gen AI hands-on · Review</v>
      </c>
      <c r="G53" s="15"/>
      <c r="H53" s="15"/>
      <c r="I53" s="15"/>
      <c r="J53" s="15"/>
      <c r="K53" s="15"/>
      <c r="L53" s="15"/>
      <c r="M53" s="16">
        <f t="shared" si="6"/>
        <v>0</v>
      </c>
      <c r="N53" s="16">
        <f t="shared" si="7"/>
        <v>6</v>
      </c>
      <c r="O53" s="15"/>
      <c r="P53" s="15"/>
      <c r="Q53" s="19"/>
    </row>
    <row r="54" spans="1:17" ht="26.4" x14ac:dyDescent="0.3">
      <c r="A54" s="20">
        <v>46358</v>
      </c>
      <c r="B54" s="16" t="s">
        <v>91</v>
      </c>
      <c r="C54" s="15"/>
      <c r="D54" s="16">
        <f>IF(C54="Yes","",ROW()-1-COUNTIF($C$2:C54,"Yes"))</f>
        <v>53</v>
      </c>
      <c r="E54" s="16">
        <f t="shared" si="4"/>
        <v>8</v>
      </c>
      <c r="F54" s="21" t="str">
        <f t="shared" si="5"/>
        <v>DSA 10:10 · HLD design 3:30 · Gen AI 5:30 · DSA 8:00 · Behavioral story + Gen AI hands-on · Review</v>
      </c>
      <c r="G54" s="15"/>
      <c r="H54" s="15"/>
      <c r="I54" s="15"/>
      <c r="J54" s="15"/>
      <c r="K54" s="15"/>
      <c r="L54" s="15"/>
      <c r="M54" s="16">
        <f t="shared" si="6"/>
        <v>0</v>
      </c>
      <c r="N54" s="16">
        <f t="shared" si="7"/>
        <v>6</v>
      </c>
      <c r="O54" s="15"/>
      <c r="P54" s="15"/>
      <c r="Q54" s="19"/>
    </row>
    <row r="55" spans="1:17" ht="26.4" x14ac:dyDescent="0.3">
      <c r="A55" s="20">
        <v>46359</v>
      </c>
      <c r="B55" s="16" t="s">
        <v>92</v>
      </c>
      <c r="C55" s="15"/>
      <c r="D55" s="16">
        <f>IF(C55="Yes","",ROW()-1-COUNTIF($C$2:C55,"Yes"))</f>
        <v>54</v>
      </c>
      <c r="E55" s="16">
        <f t="shared" si="4"/>
        <v>8</v>
      </c>
      <c r="F55" s="21" t="str">
        <f t="shared" si="5"/>
        <v>DSA 10:10 · LLD design 3:30 · Gen AI 5:30 · DSA 8:00 · Behavioral story + Gen AI hands-on · Review</v>
      </c>
      <c r="G55" s="15"/>
      <c r="H55" s="15"/>
      <c r="I55" s="15"/>
      <c r="J55" s="15"/>
      <c r="K55" s="15"/>
      <c r="L55" s="15"/>
      <c r="M55" s="16">
        <f t="shared" si="6"/>
        <v>0</v>
      </c>
      <c r="N55" s="16">
        <f t="shared" si="7"/>
        <v>6</v>
      </c>
      <c r="O55" s="15"/>
      <c r="P55" s="15"/>
      <c r="Q55" s="19"/>
    </row>
    <row r="56" spans="1:17" ht="26.4" x14ac:dyDescent="0.3">
      <c r="A56" s="20">
        <v>46360</v>
      </c>
      <c r="B56" s="16" t="s">
        <v>93</v>
      </c>
      <c r="C56" s="15"/>
      <c r="D56" s="16">
        <f>IF(C56="Yes","",ROW()-1-COUNTIF($C$2:C56,"Yes"))</f>
        <v>55</v>
      </c>
      <c r="E56" s="16">
        <f t="shared" si="4"/>
        <v>8</v>
      </c>
      <c r="F56" s="21" t="str">
        <f t="shared" si="5"/>
        <v>DSA 10:10 · HLD design 3:30 · Gen AI 5:30 · DSA 8:00 · Behavioral story + Gen AI hands-on · Review</v>
      </c>
      <c r="G56" s="15"/>
      <c r="H56" s="15"/>
      <c r="I56" s="15"/>
      <c r="J56" s="15"/>
      <c r="K56" s="15"/>
      <c r="L56" s="15"/>
      <c r="M56" s="16">
        <f t="shared" si="6"/>
        <v>0</v>
      </c>
      <c r="N56" s="16">
        <f t="shared" si="7"/>
        <v>6</v>
      </c>
      <c r="O56" s="15"/>
      <c r="P56" s="15"/>
      <c r="Q56" s="19"/>
    </row>
    <row r="57" spans="1:17" ht="26.4" x14ac:dyDescent="0.3">
      <c r="A57" s="13">
        <v>46361</v>
      </c>
      <c r="B57" s="14" t="s">
        <v>94</v>
      </c>
      <c r="C57" s="15"/>
      <c r="D57" s="16">
        <f>IF(C57="Yes","",ROW()-1-COUNTIF($C$2:C57,"Yes"))</f>
        <v>56</v>
      </c>
      <c r="E57" s="16">
        <f t="shared" si="4"/>
        <v>8</v>
      </c>
      <c r="F57" s="17" t="str">
        <f t="shared" si="5"/>
        <v>Contest or timed mock · 2 full HLD designs · Deep dive (Kafka, hashing...) · Gen AI catch-up</v>
      </c>
      <c r="G57" s="15"/>
      <c r="H57" s="15"/>
      <c r="I57" s="15"/>
      <c r="J57" s="18" t="s">
        <v>88</v>
      </c>
      <c r="K57" s="15"/>
      <c r="L57" s="18" t="s">
        <v>88</v>
      </c>
      <c r="M57" s="16">
        <f t="shared" si="6"/>
        <v>0</v>
      </c>
      <c r="N57" s="16">
        <f t="shared" si="7"/>
        <v>4</v>
      </c>
      <c r="O57" s="15"/>
      <c r="P57" s="15"/>
      <c r="Q57" s="19"/>
    </row>
    <row r="58" spans="1:17" ht="26.4" x14ac:dyDescent="0.3">
      <c r="A58" s="13">
        <v>46362</v>
      </c>
      <c r="B58" s="14" t="s">
        <v>87</v>
      </c>
      <c r="C58" s="15"/>
      <c r="D58" s="16">
        <f>IF(C58="Yes","",ROW()-1-COUNTIF($C$2:C58,"Yes"))</f>
        <v>57</v>
      </c>
      <c r="E58" s="16">
        <f t="shared" si="4"/>
        <v>8</v>
      </c>
      <c r="F58" s="17" t="str">
        <f t="shared" si="5"/>
        <v>Re-solve the week’s hardest · 1 LLD design · Read mistakes log · Half day off</v>
      </c>
      <c r="G58" s="15"/>
      <c r="H58" s="15"/>
      <c r="I58" s="18" t="s">
        <v>88</v>
      </c>
      <c r="J58" s="18" t="s">
        <v>88</v>
      </c>
      <c r="K58" s="18" t="s">
        <v>88</v>
      </c>
      <c r="L58" s="15"/>
      <c r="M58" s="16">
        <f t="shared" si="6"/>
        <v>0</v>
      </c>
      <c r="N58" s="16">
        <f t="shared" si="7"/>
        <v>3</v>
      </c>
      <c r="O58" s="15"/>
      <c r="P58" s="15"/>
      <c r="Q58" s="19"/>
    </row>
    <row r="59" spans="1:17" x14ac:dyDescent="0.3">
      <c r="A59" s="20">
        <v>46363</v>
      </c>
      <c r="B59" s="16" t="s">
        <v>89</v>
      </c>
      <c r="C59" s="15"/>
      <c r="D59" s="16">
        <f>IF(C59="Yes","",ROW()-1-COUNTIF($C$2:C59,"Yes"))</f>
        <v>58</v>
      </c>
      <c r="E59" s="16" t="str">
        <f t="shared" si="4"/>
        <v>Buffer</v>
      </c>
      <c r="F59" s="21" t="str">
        <f t="shared" si="5"/>
        <v>Buffer: revision, weak topics, mock interviews</v>
      </c>
      <c r="G59" s="15"/>
      <c r="H59" s="15"/>
      <c r="I59" s="15"/>
      <c r="J59" s="15"/>
      <c r="K59" s="15"/>
      <c r="L59" s="15"/>
      <c r="M59" s="16">
        <f t="shared" si="6"/>
        <v>0</v>
      </c>
      <c r="N59" s="16">
        <f t="shared" si="7"/>
        <v>6</v>
      </c>
      <c r="O59" s="15"/>
      <c r="P59" s="15"/>
      <c r="Q59" s="19"/>
    </row>
    <row r="60" spans="1:17" x14ac:dyDescent="0.3">
      <c r="A60" s="20">
        <v>46364</v>
      </c>
      <c r="B60" s="16" t="s">
        <v>90</v>
      </c>
      <c r="C60" s="15"/>
      <c r="D60" s="16">
        <f>IF(C60="Yes","",ROW()-1-COUNTIF($C$2:C60,"Yes"))</f>
        <v>59</v>
      </c>
      <c r="E60" s="16" t="str">
        <f t="shared" si="4"/>
        <v>Buffer</v>
      </c>
      <c r="F60" s="21" t="str">
        <f t="shared" si="5"/>
        <v>Buffer: revision, weak topics, mock interviews</v>
      </c>
      <c r="G60" s="15"/>
      <c r="H60" s="15"/>
      <c r="I60" s="15"/>
      <c r="J60" s="15"/>
      <c r="K60" s="15"/>
      <c r="L60" s="15"/>
      <c r="M60" s="16">
        <f t="shared" si="6"/>
        <v>0</v>
      </c>
      <c r="N60" s="16">
        <f t="shared" si="7"/>
        <v>6</v>
      </c>
      <c r="O60" s="15"/>
      <c r="P60" s="15"/>
      <c r="Q60" s="19"/>
    </row>
    <row r="61" spans="1:17" x14ac:dyDescent="0.3">
      <c r="A61" s="20">
        <v>46365</v>
      </c>
      <c r="B61" s="16" t="s">
        <v>91</v>
      </c>
      <c r="C61" s="15"/>
      <c r="D61" s="16">
        <f>IF(C61="Yes","",ROW()-1-COUNTIF($C$2:C61,"Yes"))</f>
        <v>60</v>
      </c>
      <c r="E61" s="16" t="str">
        <f t="shared" si="4"/>
        <v>Buffer</v>
      </c>
      <c r="F61" s="21" t="str">
        <f t="shared" si="5"/>
        <v>Buffer: revision, weak topics, mock interviews</v>
      </c>
      <c r="G61" s="15"/>
      <c r="H61" s="15"/>
      <c r="I61" s="15"/>
      <c r="J61" s="15"/>
      <c r="K61" s="15"/>
      <c r="L61" s="15"/>
      <c r="M61" s="16">
        <f t="shared" si="6"/>
        <v>0</v>
      </c>
      <c r="N61" s="16">
        <f t="shared" si="7"/>
        <v>6</v>
      </c>
      <c r="O61" s="15"/>
      <c r="P61" s="15"/>
      <c r="Q61" s="19"/>
    </row>
    <row r="62" spans="1:17" x14ac:dyDescent="0.3">
      <c r="A62" s="20">
        <v>46366</v>
      </c>
      <c r="B62" s="16" t="s">
        <v>92</v>
      </c>
      <c r="C62" s="15"/>
      <c r="D62" s="16">
        <f>IF(C62="Yes","",ROW()-1-COUNTIF($C$2:C62,"Yes"))</f>
        <v>61</v>
      </c>
      <c r="E62" s="16" t="str">
        <f t="shared" si="4"/>
        <v>Buffer</v>
      </c>
      <c r="F62" s="21" t="str">
        <f t="shared" si="5"/>
        <v>Buffer: revision, weak topics, mock interviews</v>
      </c>
      <c r="G62" s="15"/>
      <c r="H62" s="15"/>
      <c r="I62" s="15"/>
      <c r="J62" s="15"/>
      <c r="K62" s="15"/>
      <c r="L62" s="15"/>
      <c r="M62" s="16">
        <f t="shared" si="6"/>
        <v>0</v>
      </c>
      <c r="N62" s="16">
        <f t="shared" si="7"/>
        <v>6</v>
      </c>
      <c r="O62" s="15"/>
      <c r="P62" s="15"/>
      <c r="Q62" s="19"/>
    </row>
    <row r="63" spans="1:17" x14ac:dyDescent="0.3">
      <c r="A63" s="20">
        <v>46367</v>
      </c>
      <c r="B63" s="16" t="s">
        <v>93</v>
      </c>
      <c r="C63" s="15"/>
      <c r="D63" s="16">
        <f>IF(C63="Yes","",ROW()-1-COUNTIF($C$2:C63,"Yes"))</f>
        <v>62</v>
      </c>
      <c r="E63" s="16" t="str">
        <f t="shared" si="4"/>
        <v>Buffer</v>
      </c>
      <c r="F63" s="21" t="str">
        <f t="shared" si="5"/>
        <v>Buffer: revision, weak topics, mock interviews</v>
      </c>
      <c r="G63" s="15"/>
      <c r="H63" s="15"/>
      <c r="I63" s="15"/>
      <c r="J63" s="15"/>
      <c r="K63" s="15"/>
      <c r="L63" s="15"/>
      <c r="M63" s="16">
        <f t="shared" si="6"/>
        <v>0</v>
      </c>
      <c r="N63" s="16">
        <f t="shared" si="7"/>
        <v>6</v>
      </c>
      <c r="O63" s="15"/>
      <c r="P63" s="15"/>
      <c r="Q63" s="19"/>
    </row>
    <row r="64" spans="1:17" x14ac:dyDescent="0.3">
      <c r="A64" s="13">
        <v>46368</v>
      </c>
      <c r="B64" s="14" t="s">
        <v>94</v>
      </c>
      <c r="C64" s="15"/>
      <c r="D64" s="16">
        <f>IF(C64="Yes","",ROW()-1-COUNTIF($C$2:C64,"Yes"))</f>
        <v>63</v>
      </c>
      <c r="E64" s="16" t="str">
        <f t="shared" si="4"/>
        <v>Buffer</v>
      </c>
      <c r="F64" s="17" t="str">
        <f t="shared" si="5"/>
        <v>Buffer: revision, weak topics, mock interviews</v>
      </c>
      <c r="G64" s="15"/>
      <c r="H64" s="15"/>
      <c r="I64" s="15"/>
      <c r="J64" s="18" t="s">
        <v>88</v>
      </c>
      <c r="K64" s="15"/>
      <c r="L64" s="18" t="s">
        <v>88</v>
      </c>
      <c r="M64" s="16">
        <f t="shared" si="6"/>
        <v>0</v>
      </c>
      <c r="N64" s="16">
        <f t="shared" si="7"/>
        <v>4</v>
      </c>
      <c r="O64" s="15"/>
      <c r="P64" s="15"/>
      <c r="Q64" s="19"/>
    </row>
    <row r="65" spans="1:17" x14ac:dyDescent="0.3">
      <c r="A65" s="13">
        <v>46369</v>
      </c>
      <c r="B65" s="14" t="s">
        <v>87</v>
      </c>
      <c r="C65" s="15"/>
      <c r="D65" s="16">
        <f>IF(C65="Yes","",ROW()-1-COUNTIF($C$2:C65,"Yes"))</f>
        <v>64</v>
      </c>
      <c r="E65" s="16" t="str">
        <f t="shared" si="4"/>
        <v>Buffer</v>
      </c>
      <c r="F65" s="17" t="str">
        <f t="shared" si="5"/>
        <v>Buffer: revision, weak topics, mock interviews</v>
      </c>
      <c r="G65" s="15"/>
      <c r="H65" s="15"/>
      <c r="I65" s="18" t="s">
        <v>88</v>
      </c>
      <c r="J65" s="18" t="s">
        <v>88</v>
      </c>
      <c r="K65" s="18" t="s">
        <v>88</v>
      </c>
      <c r="L65" s="15"/>
      <c r="M65" s="16">
        <f t="shared" si="6"/>
        <v>0</v>
      </c>
      <c r="N65" s="16">
        <f t="shared" si="7"/>
        <v>3</v>
      </c>
      <c r="O65" s="15"/>
      <c r="P65" s="15"/>
      <c r="Q65" s="19"/>
    </row>
    <row r="66" spans="1:17" x14ac:dyDescent="0.3">
      <c r="A66" s="20">
        <v>46370</v>
      </c>
      <c r="B66" s="16" t="s">
        <v>89</v>
      </c>
      <c r="C66" s="15"/>
      <c r="D66" s="16">
        <f>IF(C66="Yes","",ROW()-1-COUNTIF($C$2:C66,"Yes"))</f>
        <v>65</v>
      </c>
      <c r="E66" s="16" t="str">
        <f t="shared" ref="E66:E97" si="8">IF(C66="Yes","",IF(D66&gt;57,"Buffer",MIN(8,INT((D66-1)/7)+1)))</f>
        <v>Buffer</v>
      </c>
      <c r="F66" s="21" t="str">
        <f t="shared" ref="F66:F97" si="9">IF(C66="Yes","Day off: the plan shifts forward one day",IF(D66&gt;57,"Buffer: revision, weak topics, mock interviews",IF(D66=1,"Kickoff: two pointers basics + 2 easy problems · HLD intro (client-server, scaling) · Set up NeetCode list and notes",IF(WEEKDAY(A66,2)=6,"Contest or timed mock · "&amp;IF(E66&lt;=3,"Revise 2 HLD concepts","2 full HLD designs")&amp;" · Deep dive (Kafka, hashing...) · Gen AI catch-up",IF(WEEKDAY(A66,2)=7,"Re-solve the week’s hardest · "&amp;IF(E66&lt;=3,"Revise LLD concepts","1 LLD design")&amp;" · Read mistakes log · Half day off","DSA 10:10 · "&amp;IF(MOD(WEEKDAY(A66,2),2)=1,"HLD","LLD")&amp;IF(E66&lt;=3," concepts"," design")&amp;" 3:30 · Gen AI 5:30 · DSA 8:00 · "&amp;IF(A66&lt;DATE(2026,10,23),"DE practice exam",IF(A66=DATE(2026,10,23),"DATABRICKS EXAM DAY","Behavioral story + Gen AI hands-on"))&amp;" · Review")))))</f>
        <v>Buffer: revision, weak topics, mock interviews</v>
      </c>
      <c r="G66" s="15"/>
      <c r="H66" s="15"/>
      <c r="I66" s="15"/>
      <c r="J66" s="15"/>
      <c r="K66" s="15"/>
      <c r="L66" s="15"/>
      <c r="M66" s="16">
        <f t="shared" ref="M66:M97" si="10">IF(C66="Yes",0,COUNTIF(G66:L66,"Yes"))</f>
        <v>0</v>
      </c>
      <c r="N66" s="16">
        <f t="shared" ref="N66:N93" si="11">IF(C66="Yes",0,6-COUNTIF(G66:L66,"—"))</f>
        <v>6</v>
      </c>
      <c r="O66" s="15"/>
      <c r="P66" s="15"/>
      <c r="Q66" s="19"/>
    </row>
    <row r="67" spans="1:17" x14ac:dyDescent="0.3">
      <c r="A67" s="20">
        <v>46371</v>
      </c>
      <c r="B67" s="16" t="s">
        <v>90</v>
      </c>
      <c r="C67" s="15"/>
      <c r="D67" s="16">
        <f>IF(C67="Yes","",ROW()-1-COUNTIF($C$2:C67,"Yes"))</f>
        <v>66</v>
      </c>
      <c r="E67" s="16" t="str">
        <f t="shared" si="8"/>
        <v>Buffer</v>
      </c>
      <c r="F67" s="21" t="str">
        <f t="shared" si="9"/>
        <v>Buffer: revision, weak topics, mock interviews</v>
      </c>
      <c r="G67" s="15"/>
      <c r="H67" s="15"/>
      <c r="I67" s="15"/>
      <c r="J67" s="15"/>
      <c r="K67" s="15"/>
      <c r="L67" s="15"/>
      <c r="M67" s="16">
        <f t="shared" si="10"/>
        <v>0</v>
      </c>
      <c r="N67" s="16">
        <f t="shared" si="11"/>
        <v>6</v>
      </c>
      <c r="O67" s="15"/>
      <c r="P67" s="15"/>
      <c r="Q67" s="19"/>
    </row>
    <row r="68" spans="1:17" x14ac:dyDescent="0.3">
      <c r="A68" s="20">
        <v>46372</v>
      </c>
      <c r="B68" s="16" t="s">
        <v>91</v>
      </c>
      <c r="C68" s="15"/>
      <c r="D68" s="16">
        <f>IF(C68="Yes","",ROW()-1-COUNTIF($C$2:C68,"Yes"))</f>
        <v>67</v>
      </c>
      <c r="E68" s="16" t="str">
        <f t="shared" si="8"/>
        <v>Buffer</v>
      </c>
      <c r="F68" s="21" t="str">
        <f t="shared" si="9"/>
        <v>Buffer: revision, weak topics, mock interviews</v>
      </c>
      <c r="G68" s="15"/>
      <c r="H68" s="15"/>
      <c r="I68" s="15"/>
      <c r="J68" s="15"/>
      <c r="K68" s="15"/>
      <c r="L68" s="15"/>
      <c r="M68" s="16">
        <f t="shared" si="10"/>
        <v>0</v>
      </c>
      <c r="N68" s="16">
        <f t="shared" si="11"/>
        <v>6</v>
      </c>
      <c r="O68" s="15"/>
      <c r="P68" s="15"/>
      <c r="Q68" s="19"/>
    </row>
    <row r="69" spans="1:17" x14ac:dyDescent="0.3">
      <c r="A69" s="20">
        <v>46373</v>
      </c>
      <c r="B69" s="16" t="s">
        <v>92</v>
      </c>
      <c r="C69" s="15"/>
      <c r="D69" s="16">
        <f>IF(C69="Yes","",ROW()-1-COUNTIF($C$2:C69,"Yes"))</f>
        <v>68</v>
      </c>
      <c r="E69" s="16" t="str">
        <f t="shared" si="8"/>
        <v>Buffer</v>
      </c>
      <c r="F69" s="21" t="str">
        <f t="shared" si="9"/>
        <v>Buffer: revision, weak topics, mock interviews</v>
      </c>
      <c r="G69" s="15"/>
      <c r="H69" s="15"/>
      <c r="I69" s="15"/>
      <c r="J69" s="15"/>
      <c r="K69" s="15"/>
      <c r="L69" s="15"/>
      <c r="M69" s="16">
        <f t="shared" si="10"/>
        <v>0</v>
      </c>
      <c r="N69" s="16">
        <f t="shared" si="11"/>
        <v>6</v>
      </c>
      <c r="O69" s="15"/>
      <c r="P69" s="15"/>
      <c r="Q69" s="19"/>
    </row>
    <row r="70" spans="1:17" x14ac:dyDescent="0.3">
      <c r="A70" s="20">
        <v>46374</v>
      </c>
      <c r="B70" s="16" t="s">
        <v>93</v>
      </c>
      <c r="C70" s="15"/>
      <c r="D70" s="16">
        <f>IF(C70="Yes","",ROW()-1-COUNTIF($C$2:C70,"Yes"))</f>
        <v>69</v>
      </c>
      <c r="E70" s="16" t="str">
        <f t="shared" si="8"/>
        <v>Buffer</v>
      </c>
      <c r="F70" s="21" t="str">
        <f t="shared" si="9"/>
        <v>Buffer: revision, weak topics, mock interviews</v>
      </c>
      <c r="G70" s="15"/>
      <c r="H70" s="15"/>
      <c r="I70" s="15"/>
      <c r="J70" s="15"/>
      <c r="K70" s="15"/>
      <c r="L70" s="15"/>
      <c r="M70" s="16">
        <f t="shared" si="10"/>
        <v>0</v>
      </c>
      <c r="N70" s="16">
        <f t="shared" si="11"/>
        <v>6</v>
      </c>
      <c r="O70" s="15"/>
      <c r="P70" s="15"/>
      <c r="Q70" s="19"/>
    </row>
    <row r="71" spans="1:17" x14ac:dyDescent="0.3">
      <c r="A71" s="13">
        <v>46375</v>
      </c>
      <c r="B71" s="14" t="s">
        <v>94</v>
      </c>
      <c r="C71" s="15"/>
      <c r="D71" s="16">
        <f>IF(C71="Yes","",ROW()-1-COUNTIF($C$2:C71,"Yes"))</f>
        <v>70</v>
      </c>
      <c r="E71" s="16" t="str">
        <f t="shared" si="8"/>
        <v>Buffer</v>
      </c>
      <c r="F71" s="17" t="str">
        <f t="shared" si="9"/>
        <v>Buffer: revision, weak topics, mock interviews</v>
      </c>
      <c r="G71" s="15"/>
      <c r="H71" s="15"/>
      <c r="I71" s="15"/>
      <c r="J71" s="18" t="s">
        <v>88</v>
      </c>
      <c r="K71" s="15"/>
      <c r="L71" s="18" t="s">
        <v>88</v>
      </c>
      <c r="M71" s="16">
        <f t="shared" si="10"/>
        <v>0</v>
      </c>
      <c r="N71" s="16">
        <f t="shared" si="11"/>
        <v>4</v>
      </c>
      <c r="O71" s="15"/>
      <c r="P71" s="15"/>
      <c r="Q71" s="19"/>
    </row>
    <row r="72" spans="1:17" x14ac:dyDescent="0.3">
      <c r="A72" s="13">
        <v>46376</v>
      </c>
      <c r="B72" s="14" t="s">
        <v>87</v>
      </c>
      <c r="C72" s="15"/>
      <c r="D72" s="16">
        <f>IF(C72="Yes","",ROW()-1-COUNTIF($C$2:C72,"Yes"))</f>
        <v>71</v>
      </c>
      <c r="E72" s="16" t="str">
        <f t="shared" si="8"/>
        <v>Buffer</v>
      </c>
      <c r="F72" s="17" t="str">
        <f t="shared" si="9"/>
        <v>Buffer: revision, weak topics, mock interviews</v>
      </c>
      <c r="G72" s="15"/>
      <c r="H72" s="15"/>
      <c r="I72" s="18" t="s">
        <v>88</v>
      </c>
      <c r="J72" s="18" t="s">
        <v>88</v>
      </c>
      <c r="K72" s="18" t="s">
        <v>88</v>
      </c>
      <c r="L72" s="15"/>
      <c r="M72" s="16">
        <f t="shared" si="10"/>
        <v>0</v>
      </c>
      <c r="N72" s="16">
        <f t="shared" si="11"/>
        <v>3</v>
      </c>
      <c r="O72" s="15"/>
      <c r="P72" s="15"/>
      <c r="Q72" s="19"/>
    </row>
    <row r="73" spans="1:17" x14ac:dyDescent="0.3">
      <c r="A73" s="20">
        <v>46377</v>
      </c>
      <c r="B73" s="16" t="s">
        <v>89</v>
      </c>
      <c r="C73" s="15"/>
      <c r="D73" s="16">
        <f>IF(C73="Yes","",ROW()-1-COUNTIF($C$2:C73,"Yes"))</f>
        <v>72</v>
      </c>
      <c r="E73" s="16" t="str">
        <f t="shared" si="8"/>
        <v>Buffer</v>
      </c>
      <c r="F73" s="21" t="str">
        <f t="shared" si="9"/>
        <v>Buffer: revision, weak topics, mock interviews</v>
      </c>
      <c r="G73" s="15"/>
      <c r="H73" s="15"/>
      <c r="I73" s="15"/>
      <c r="J73" s="15"/>
      <c r="K73" s="15"/>
      <c r="L73" s="15"/>
      <c r="M73" s="16">
        <f t="shared" si="10"/>
        <v>0</v>
      </c>
      <c r="N73" s="16">
        <f t="shared" si="11"/>
        <v>6</v>
      </c>
      <c r="O73" s="15"/>
      <c r="P73" s="15"/>
      <c r="Q73" s="19"/>
    </row>
    <row r="74" spans="1:17" x14ac:dyDescent="0.3">
      <c r="A74" s="20">
        <v>46378</v>
      </c>
      <c r="B74" s="16" t="s">
        <v>90</v>
      </c>
      <c r="C74" s="15"/>
      <c r="D74" s="16">
        <f>IF(C74="Yes","",ROW()-1-COUNTIF($C$2:C74,"Yes"))</f>
        <v>73</v>
      </c>
      <c r="E74" s="16" t="str">
        <f t="shared" si="8"/>
        <v>Buffer</v>
      </c>
      <c r="F74" s="21" t="str">
        <f t="shared" si="9"/>
        <v>Buffer: revision, weak topics, mock interviews</v>
      </c>
      <c r="G74" s="15"/>
      <c r="H74" s="15"/>
      <c r="I74" s="15"/>
      <c r="J74" s="15"/>
      <c r="K74" s="15"/>
      <c r="L74" s="15"/>
      <c r="M74" s="16">
        <f t="shared" si="10"/>
        <v>0</v>
      </c>
      <c r="N74" s="16">
        <f t="shared" si="11"/>
        <v>6</v>
      </c>
      <c r="O74" s="15"/>
      <c r="P74" s="15"/>
      <c r="Q74" s="19"/>
    </row>
    <row r="75" spans="1:17" x14ac:dyDescent="0.3">
      <c r="A75" s="20">
        <v>46379</v>
      </c>
      <c r="B75" s="16" t="s">
        <v>91</v>
      </c>
      <c r="C75" s="15"/>
      <c r="D75" s="16">
        <f>IF(C75="Yes","",ROW()-1-COUNTIF($C$2:C75,"Yes"))</f>
        <v>74</v>
      </c>
      <c r="E75" s="16" t="str">
        <f t="shared" si="8"/>
        <v>Buffer</v>
      </c>
      <c r="F75" s="21" t="str">
        <f t="shared" si="9"/>
        <v>Buffer: revision, weak topics, mock interviews</v>
      </c>
      <c r="G75" s="15"/>
      <c r="H75" s="15"/>
      <c r="I75" s="15"/>
      <c r="J75" s="15"/>
      <c r="K75" s="15"/>
      <c r="L75" s="15"/>
      <c r="M75" s="16">
        <f t="shared" si="10"/>
        <v>0</v>
      </c>
      <c r="N75" s="16">
        <f t="shared" si="11"/>
        <v>6</v>
      </c>
      <c r="O75" s="15"/>
      <c r="P75" s="15"/>
      <c r="Q75" s="19"/>
    </row>
    <row r="76" spans="1:17" x14ac:dyDescent="0.3">
      <c r="A76" s="20">
        <v>46380</v>
      </c>
      <c r="B76" s="16" t="s">
        <v>92</v>
      </c>
      <c r="C76" s="15"/>
      <c r="D76" s="16">
        <f>IF(C76="Yes","",ROW()-1-COUNTIF($C$2:C76,"Yes"))</f>
        <v>75</v>
      </c>
      <c r="E76" s="16" t="str">
        <f t="shared" si="8"/>
        <v>Buffer</v>
      </c>
      <c r="F76" s="21" t="str">
        <f t="shared" si="9"/>
        <v>Buffer: revision, weak topics, mock interviews</v>
      </c>
      <c r="G76" s="15"/>
      <c r="H76" s="15"/>
      <c r="I76" s="15"/>
      <c r="J76" s="15"/>
      <c r="K76" s="15"/>
      <c r="L76" s="15"/>
      <c r="M76" s="16">
        <f t="shared" si="10"/>
        <v>0</v>
      </c>
      <c r="N76" s="16">
        <f t="shared" si="11"/>
        <v>6</v>
      </c>
      <c r="O76" s="15"/>
      <c r="P76" s="15"/>
      <c r="Q76" s="19"/>
    </row>
    <row r="77" spans="1:17" x14ac:dyDescent="0.3">
      <c r="A77" s="20">
        <v>46381</v>
      </c>
      <c r="B77" s="16" t="s">
        <v>93</v>
      </c>
      <c r="C77" s="15"/>
      <c r="D77" s="16">
        <f>IF(C77="Yes","",ROW()-1-COUNTIF($C$2:C77,"Yes"))</f>
        <v>76</v>
      </c>
      <c r="E77" s="16" t="str">
        <f t="shared" si="8"/>
        <v>Buffer</v>
      </c>
      <c r="F77" s="21" t="str">
        <f t="shared" si="9"/>
        <v>Buffer: revision, weak topics, mock interviews</v>
      </c>
      <c r="G77" s="15"/>
      <c r="H77" s="15"/>
      <c r="I77" s="15"/>
      <c r="J77" s="15"/>
      <c r="K77" s="15"/>
      <c r="L77" s="15"/>
      <c r="M77" s="16">
        <f t="shared" si="10"/>
        <v>0</v>
      </c>
      <c r="N77" s="16">
        <f t="shared" si="11"/>
        <v>6</v>
      </c>
      <c r="O77" s="15"/>
      <c r="P77" s="15"/>
      <c r="Q77" s="19"/>
    </row>
    <row r="78" spans="1:17" x14ac:dyDescent="0.3">
      <c r="A78" s="13">
        <v>46382</v>
      </c>
      <c r="B78" s="14" t="s">
        <v>94</v>
      </c>
      <c r="C78" s="15"/>
      <c r="D78" s="16">
        <f>IF(C78="Yes","",ROW()-1-COUNTIF($C$2:C78,"Yes"))</f>
        <v>77</v>
      </c>
      <c r="E78" s="16" t="str">
        <f t="shared" si="8"/>
        <v>Buffer</v>
      </c>
      <c r="F78" s="17" t="str">
        <f t="shared" si="9"/>
        <v>Buffer: revision, weak topics, mock interviews</v>
      </c>
      <c r="G78" s="15"/>
      <c r="H78" s="15"/>
      <c r="I78" s="15"/>
      <c r="J78" s="18" t="s">
        <v>88</v>
      </c>
      <c r="K78" s="15"/>
      <c r="L78" s="18" t="s">
        <v>88</v>
      </c>
      <c r="M78" s="16">
        <f t="shared" si="10"/>
        <v>0</v>
      </c>
      <c r="N78" s="16">
        <f t="shared" si="11"/>
        <v>4</v>
      </c>
      <c r="O78" s="15"/>
      <c r="P78" s="15"/>
      <c r="Q78" s="19"/>
    </row>
    <row r="79" spans="1:17" x14ac:dyDescent="0.3">
      <c r="A79" s="13">
        <v>46383</v>
      </c>
      <c r="B79" s="14" t="s">
        <v>87</v>
      </c>
      <c r="C79" s="15"/>
      <c r="D79" s="16">
        <f>IF(C79="Yes","",ROW()-1-COUNTIF($C$2:C79,"Yes"))</f>
        <v>78</v>
      </c>
      <c r="E79" s="16" t="str">
        <f t="shared" si="8"/>
        <v>Buffer</v>
      </c>
      <c r="F79" s="17" t="str">
        <f t="shared" si="9"/>
        <v>Buffer: revision, weak topics, mock interviews</v>
      </c>
      <c r="G79" s="15"/>
      <c r="H79" s="15"/>
      <c r="I79" s="18" t="s">
        <v>88</v>
      </c>
      <c r="J79" s="18" t="s">
        <v>88</v>
      </c>
      <c r="K79" s="18" t="s">
        <v>88</v>
      </c>
      <c r="L79" s="15"/>
      <c r="M79" s="16">
        <f t="shared" si="10"/>
        <v>0</v>
      </c>
      <c r="N79" s="16">
        <f t="shared" si="11"/>
        <v>3</v>
      </c>
      <c r="O79" s="15"/>
      <c r="P79" s="15"/>
      <c r="Q79" s="19"/>
    </row>
    <row r="80" spans="1:17" x14ac:dyDescent="0.3">
      <c r="A80" s="20">
        <v>46384</v>
      </c>
      <c r="B80" s="16" t="s">
        <v>89</v>
      </c>
      <c r="C80" s="15"/>
      <c r="D80" s="16">
        <f>IF(C80="Yes","",ROW()-1-COUNTIF($C$2:C80,"Yes"))</f>
        <v>79</v>
      </c>
      <c r="E80" s="16" t="str">
        <f t="shared" si="8"/>
        <v>Buffer</v>
      </c>
      <c r="F80" s="21" t="str">
        <f t="shared" si="9"/>
        <v>Buffer: revision, weak topics, mock interviews</v>
      </c>
      <c r="G80" s="15"/>
      <c r="H80" s="15"/>
      <c r="I80" s="15"/>
      <c r="J80" s="15"/>
      <c r="K80" s="15"/>
      <c r="L80" s="15"/>
      <c r="M80" s="16">
        <f t="shared" si="10"/>
        <v>0</v>
      </c>
      <c r="N80" s="16">
        <f t="shared" si="11"/>
        <v>6</v>
      </c>
      <c r="O80" s="15"/>
      <c r="P80" s="15"/>
      <c r="Q80" s="19"/>
    </row>
    <row r="81" spans="1:17" x14ac:dyDescent="0.3">
      <c r="A81" s="20">
        <v>46385</v>
      </c>
      <c r="B81" s="16" t="s">
        <v>90</v>
      </c>
      <c r="C81" s="15"/>
      <c r="D81" s="16">
        <f>IF(C81="Yes","",ROW()-1-COUNTIF($C$2:C81,"Yes"))</f>
        <v>80</v>
      </c>
      <c r="E81" s="16" t="str">
        <f t="shared" si="8"/>
        <v>Buffer</v>
      </c>
      <c r="F81" s="21" t="str">
        <f t="shared" si="9"/>
        <v>Buffer: revision, weak topics, mock interviews</v>
      </c>
      <c r="G81" s="15"/>
      <c r="H81" s="15"/>
      <c r="I81" s="15"/>
      <c r="J81" s="15"/>
      <c r="K81" s="15"/>
      <c r="L81" s="15"/>
      <c r="M81" s="16">
        <f t="shared" si="10"/>
        <v>0</v>
      </c>
      <c r="N81" s="16">
        <f t="shared" si="11"/>
        <v>6</v>
      </c>
      <c r="O81" s="15"/>
      <c r="P81" s="15"/>
      <c r="Q81" s="19"/>
    </row>
    <row r="82" spans="1:17" x14ac:dyDescent="0.3">
      <c r="A82" s="20">
        <v>46386</v>
      </c>
      <c r="B82" s="16" t="s">
        <v>91</v>
      </c>
      <c r="C82" s="15"/>
      <c r="D82" s="16">
        <f>IF(C82="Yes","",ROW()-1-COUNTIF($C$2:C82,"Yes"))</f>
        <v>81</v>
      </c>
      <c r="E82" s="16" t="str">
        <f t="shared" si="8"/>
        <v>Buffer</v>
      </c>
      <c r="F82" s="21" t="str">
        <f t="shared" si="9"/>
        <v>Buffer: revision, weak topics, mock interviews</v>
      </c>
      <c r="G82" s="15"/>
      <c r="H82" s="15"/>
      <c r="I82" s="15"/>
      <c r="J82" s="15"/>
      <c r="K82" s="15"/>
      <c r="L82" s="15"/>
      <c r="M82" s="16">
        <f t="shared" si="10"/>
        <v>0</v>
      </c>
      <c r="N82" s="16">
        <f t="shared" si="11"/>
        <v>6</v>
      </c>
      <c r="O82" s="15"/>
      <c r="P82" s="15"/>
      <c r="Q82" s="19"/>
    </row>
    <row r="83" spans="1:17" x14ac:dyDescent="0.3">
      <c r="A83" s="20">
        <v>46387</v>
      </c>
      <c r="B83" s="16" t="s">
        <v>92</v>
      </c>
      <c r="C83" s="15"/>
      <c r="D83" s="16">
        <f>IF(C83="Yes","",ROW()-1-COUNTIF($C$2:C83,"Yes"))</f>
        <v>82</v>
      </c>
      <c r="E83" s="16" t="str">
        <f t="shared" si="8"/>
        <v>Buffer</v>
      </c>
      <c r="F83" s="21" t="str">
        <f t="shared" si="9"/>
        <v>Buffer: revision, weak topics, mock interviews</v>
      </c>
      <c r="G83" s="15"/>
      <c r="H83" s="15"/>
      <c r="I83" s="15"/>
      <c r="J83" s="15"/>
      <c r="K83" s="15"/>
      <c r="L83" s="15"/>
      <c r="M83" s="16">
        <f t="shared" si="10"/>
        <v>0</v>
      </c>
      <c r="N83" s="16">
        <f t="shared" si="11"/>
        <v>6</v>
      </c>
      <c r="O83" s="15"/>
      <c r="P83" s="15"/>
      <c r="Q83" s="19"/>
    </row>
    <row r="84" spans="1:17" x14ac:dyDescent="0.3">
      <c r="A84" s="20">
        <v>46388</v>
      </c>
      <c r="B84" s="16" t="s">
        <v>93</v>
      </c>
      <c r="C84" s="15"/>
      <c r="D84" s="16">
        <f>IF(C84="Yes","",ROW()-1-COUNTIF($C$2:C84,"Yes"))</f>
        <v>83</v>
      </c>
      <c r="E84" s="16" t="str">
        <f t="shared" si="8"/>
        <v>Buffer</v>
      </c>
      <c r="F84" s="21" t="str">
        <f t="shared" si="9"/>
        <v>Buffer: revision, weak topics, mock interviews</v>
      </c>
      <c r="G84" s="15"/>
      <c r="H84" s="15"/>
      <c r="I84" s="15"/>
      <c r="J84" s="15"/>
      <c r="K84" s="15"/>
      <c r="L84" s="15"/>
      <c r="M84" s="16">
        <f t="shared" si="10"/>
        <v>0</v>
      </c>
      <c r="N84" s="16">
        <f t="shared" si="11"/>
        <v>6</v>
      </c>
      <c r="O84" s="15"/>
      <c r="P84" s="15"/>
      <c r="Q84" s="19"/>
    </row>
    <row r="85" spans="1:17" x14ac:dyDescent="0.3">
      <c r="A85" s="13">
        <v>46389</v>
      </c>
      <c r="B85" s="14" t="s">
        <v>94</v>
      </c>
      <c r="C85" s="15"/>
      <c r="D85" s="16">
        <f>IF(C85="Yes","",ROW()-1-COUNTIF($C$2:C85,"Yes"))</f>
        <v>84</v>
      </c>
      <c r="E85" s="16" t="str">
        <f t="shared" si="8"/>
        <v>Buffer</v>
      </c>
      <c r="F85" s="17" t="str">
        <f t="shared" si="9"/>
        <v>Buffer: revision, weak topics, mock interviews</v>
      </c>
      <c r="G85" s="15"/>
      <c r="H85" s="15"/>
      <c r="I85" s="15"/>
      <c r="J85" s="18" t="s">
        <v>88</v>
      </c>
      <c r="K85" s="15"/>
      <c r="L85" s="18" t="s">
        <v>88</v>
      </c>
      <c r="M85" s="16">
        <f t="shared" si="10"/>
        <v>0</v>
      </c>
      <c r="N85" s="16">
        <f t="shared" si="11"/>
        <v>4</v>
      </c>
      <c r="O85" s="15"/>
      <c r="P85" s="15"/>
      <c r="Q85" s="19"/>
    </row>
    <row r="86" spans="1:17" x14ac:dyDescent="0.3">
      <c r="A86" s="13">
        <v>46390</v>
      </c>
      <c r="B86" s="14" t="s">
        <v>87</v>
      </c>
      <c r="C86" s="15"/>
      <c r="D86" s="16">
        <f>IF(C86="Yes","",ROW()-1-COUNTIF($C$2:C86,"Yes"))</f>
        <v>85</v>
      </c>
      <c r="E86" s="16" t="str">
        <f t="shared" si="8"/>
        <v>Buffer</v>
      </c>
      <c r="F86" s="17" t="str">
        <f t="shared" si="9"/>
        <v>Buffer: revision, weak topics, mock interviews</v>
      </c>
      <c r="G86" s="15"/>
      <c r="H86" s="15"/>
      <c r="I86" s="18" t="s">
        <v>88</v>
      </c>
      <c r="J86" s="18" t="s">
        <v>88</v>
      </c>
      <c r="K86" s="18" t="s">
        <v>88</v>
      </c>
      <c r="L86" s="15"/>
      <c r="M86" s="16">
        <f t="shared" si="10"/>
        <v>0</v>
      </c>
      <c r="N86" s="16">
        <f t="shared" si="11"/>
        <v>3</v>
      </c>
      <c r="O86" s="15"/>
      <c r="P86" s="15"/>
      <c r="Q86" s="19"/>
    </row>
    <row r="87" spans="1:17" x14ac:dyDescent="0.3">
      <c r="A87" s="20">
        <v>46391</v>
      </c>
      <c r="B87" s="16" t="s">
        <v>89</v>
      </c>
      <c r="C87" s="15"/>
      <c r="D87" s="16">
        <f>IF(C87="Yes","",ROW()-1-COUNTIF($C$2:C87,"Yes"))</f>
        <v>86</v>
      </c>
      <c r="E87" s="16" t="str">
        <f t="shared" si="8"/>
        <v>Buffer</v>
      </c>
      <c r="F87" s="21" t="str">
        <f t="shared" si="9"/>
        <v>Buffer: revision, weak topics, mock interviews</v>
      </c>
      <c r="G87" s="15"/>
      <c r="H87" s="15"/>
      <c r="I87" s="15"/>
      <c r="J87" s="15"/>
      <c r="K87" s="15"/>
      <c r="L87" s="15"/>
      <c r="M87" s="16">
        <f t="shared" si="10"/>
        <v>0</v>
      </c>
      <c r="N87" s="16">
        <f t="shared" si="11"/>
        <v>6</v>
      </c>
      <c r="O87" s="15"/>
      <c r="P87" s="15"/>
      <c r="Q87" s="19"/>
    </row>
    <row r="88" spans="1:17" x14ac:dyDescent="0.3">
      <c r="A88" s="20">
        <v>46392</v>
      </c>
      <c r="B88" s="16" t="s">
        <v>90</v>
      </c>
      <c r="C88" s="15"/>
      <c r="D88" s="16">
        <f>IF(C88="Yes","",ROW()-1-COUNTIF($C$2:C88,"Yes"))</f>
        <v>87</v>
      </c>
      <c r="E88" s="16" t="str">
        <f t="shared" si="8"/>
        <v>Buffer</v>
      </c>
      <c r="F88" s="21" t="str">
        <f t="shared" si="9"/>
        <v>Buffer: revision, weak topics, mock interviews</v>
      </c>
      <c r="G88" s="15"/>
      <c r="H88" s="15"/>
      <c r="I88" s="15"/>
      <c r="J88" s="15"/>
      <c r="K88" s="15"/>
      <c r="L88" s="15"/>
      <c r="M88" s="16">
        <f t="shared" si="10"/>
        <v>0</v>
      </c>
      <c r="N88" s="16">
        <f t="shared" si="11"/>
        <v>6</v>
      </c>
      <c r="O88" s="15"/>
      <c r="P88" s="15"/>
      <c r="Q88" s="19"/>
    </row>
    <row r="89" spans="1:17" x14ac:dyDescent="0.3">
      <c r="A89" s="20">
        <v>46393</v>
      </c>
      <c r="B89" s="16" t="s">
        <v>91</v>
      </c>
      <c r="C89" s="15"/>
      <c r="D89" s="16">
        <f>IF(C89="Yes","",ROW()-1-COUNTIF($C$2:C89,"Yes"))</f>
        <v>88</v>
      </c>
      <c r="E89" s="16" t="str">
        <f t="shared" si="8"/>
        <v>Buffer</v>
      </c>
      <c r="F89" s="21" t="str">
        <f t="shared" si="9"/>
        <v>Buffer: revision, weak topics, mock interviews</v>
      </c>
      <c r="G89" s="15"/>
      <c r="H89" s="15"/>
      <c r="I89" s="15"/>
      <c r="J89" s="15"/>
      <c r="K89" s="15"/>
      <c r="L89" s="15"/>
      <c r="M89" s="16">
        <f t="shared" si="10"/>
        <v>0</v>
      </c>
      <c r="N89" s="16">
        <f t="shared" si="11"/>
        <v>6</v>
      </c>
      <c r="O89" s="15"/>
      <c r="P89" s="15"/>
      <c r="Q89" s="19"/>
    </row>
    <row r="90" spans="1:17" x14ac:dyDescent="0.3">
      <c r="A90" s="20">
        <v>46394</v>
      </c>
      <c r="B90" s="16" t="s">
        <v>92</v>
      </c>
      <c r="C90" s="15"/>
      <c r="D90" s="16">
        <f>IF(C90="Yes","",ROW()-1-COUNTIF($C$2:C90,"Yes"))</f>
        <v>89</v>
      </c>
      <c r="E90" s="16" t="str">
        <f t="shared" si="8"/>
        <v>Buffer</v>
      </c>
      <c r="F90" s="21" t="str">
        <f t="shared" si="9"/>
        <v>Buffer: revision, weak topics, mock interviews</v>
      </c>
      <c r="G90" s="15"/>
      <c r="H90" s="15"/>
      <c r="I90" s="15"/>
      <c r="J90" s="15"/>
      <c r="K90" s="15"/>
      <c r="L90" s="15"/>
      <c r="M90" s="16">
        <f t="shared" si="10"/>
        <v>0</v>
      </c>
      <c r="N90" s="16">
        <f t="shared" si="11"/>
        <v>6</v>
      </c>
      <c r="O90" s="15"/>
      <c r="P90" s="15"/>
      <c r="Q90" s="19"/>
    </row>
    <row r="91" spans="1:17" x14ac:dyDescent="0.3">
      <c r="A91" s="20">
        <v>46395</v>
      </c>
      <c r="B91" s="16" t="s">
        <v>93</v>
      </c>
      <c r="C91" s="15"/>
      <c r="D91" s="16">
        <f>IF(C91="Yes","",ROW()-1-COUNTIF($C$2:C91,"Yes"))</f>
        <v>90</v>
      </c>
      <c r="E91" s="16" t="str">
        <f t="shared" si="8"/>
        <v>Buffer</v>
      </c>
      <c r="F91" s="21" t="str">
        <f t="shared" si="9"/>
        <v>Buffer: revision, weak topics, mock interviews</v>
      </c>
      <c r="G91" s="15"/>
      <c r="H91" s="15"/>
      <c r="I91" s="15"/>
      <c r="J91" s="15"/>
      <c r="K91" s="15"/>
      <c r="L91" s="15"/>
      <c r="M91" s="16">
        <f t="shared" si="10"/>
        <v>0</v>
      </c>
      <c r="N91" s="16">
        <f t="shared" si="11"/>
        <v>6</v>
      </c>
      <c r="O91" s="15"/>
      <c r="P91" s="15"/>
      <c r="Q91" s="19"/>
    </row>
    <row r="92" spans="1:17" x14ac:dyDescent="0.3">
      <c r="A92" s="13">
        <v>46396</v>
      </c>
      <c r="B92" s="14" t="s">
        <v>94</v>
      </c>
      <c r="C92" s="15"/>
      <c r="D92" s="16">
        <f>IF(C92="Yes","",ROW()-1-COUNTIF($C$2:C92,"Yes"))</f>
        <v>91</v>
      </c>
      <c r="E92" s="16" t="str">
        <f t="shared" si="8"/>
        <v>Buffer</v>
      </c>
      <c r="F92" s="17" t="str">
        <f t="shared" si="9"/>
        <v>Buffer: revision, weak topics, mock interviews</v>
      </c>
      <c r="G92" s="15"/>
      <c r="H92" s="15"/>
      <c r="I92" s="15"/>
      <c r="J92" s="18" t="s">
        <v>88</v>
      </c>
      <c r="K92" s="15"/>
      <c r="L92" s="18" t="s">
        <v>88</v>
      </c>
      <c r="M92" s="16">
        <f t="shared" si="10"/>
        <v>0</v>
      </c>
      <c r="N92" s="16">
        <f t="shared" si="11"/>
        <v>4</v>
      </c>
      <c r="O92" s="15"/>
      <c r="P92" s="15"/>
      <c r="Q92" s="19"/>
    </row>
    <row r="93" spans="1:17" x14ac:dyDescent="0.3">
      <c r="A93" s="13">
        <v>46397</v>
      </c>
      <c r="B93" s="14" t="s">
        <v>87</v>
      </c>
      <c r="C93" s="15"/>
      <c r="D93" s="16">
        <f>IF(C93="Yes","",ROW()-1-COUNTIF($C$2:C93,"Yes"))</f>
        <v>92</v>
      </c>
      <c r="E93" s="16" t="str">
        <f t="shared" si="8"/>
        <v>Buffer</v>
      </c>
      <c r="F93" s="17" t="str">
        <f t="shared" si="9"/>
        <v>Buffer: revision, weak topics, mock interviews</v>
      </c>
      <c r="G93" s="15"/>
      <c r="H93" s="15"/>
      <c r="I93" s="18" t="s">
        <v>88</v>
      </c>
      <c r="J93" s="18" t="s">
        <v>88</v>
      </c>
      <c r="K93" s="18" t="s">
        <v>88</v>
      </c>
      <c r="L93" s="15"/>
      <c r="M93" s="16">
        <f t="shared" si="10"/>
        <v>0</v>
      </c>
      <c r="N93" s="16">
        <f t="shared" si="11"/>
        <v>3</v>
      </c>
      <c r="O93" s="15"/>
      <c r="P93" s="15"/>
      <c r="Q93" s="19"/>
    </row>
  </sheetData>
  <conditionalFormatting sqref="A2:F93">
    <cfRule type="expression" dxfId="10" priority="6">
      <formula>$A2=TODAY()</formula>
    </cfRule>
  </conditionalFormatting>
  <conditionalFormatting sqref="A2:Q93">
    <cfRule type="expression" dxfId="9" priority="2">
      <formula>$C2="Yes"</formula>
    </cfRule>
  </conditionalFormatting>
  <conditionalFormatting sqref="G2:L93">
    <cfRule type="cellIs" dxfId="8" priority="5" operator="equal">
      <formula>"Yes"</formula>
    </cfRule>
  </conditionalFormatting>
  <conditionalFormatting sqref="O2:O93">
    <cfRule type="cellIs" dxfId="7" priority="3" operator="greaterThanOrEqual">
      <formula>3</formula>
    </cfRule>
    <cfRule type="cellIs" dxfId="6" priority="4" operator="between">
      <formula>1</formula>
      <formula>2</formula>
    </cfRule>
  </conditionalFormatting>
  <dataValidations count="2">
    <dataValidation type="list" allowBlank="1" sqref="G2:H2 L2 G3:L7 G8:I8 K8 G9:H9 L9 G10:L14 G15:I15 K15 G16:H16 L16 G17:L21 G22:I22 K22 G23:H23 L23 G24:L28 G29:I29 K29 G30:H30 L30 G31:L35 G36:I36 K36 G37:H37 L37 G38:L42 G43:I43 K43 G44:H44 L44 G45:L49 G50:I50 K50 G51:H51 L51 G52:L56 G57:I57 K57 G58:H58 L58 G59:L63 G64:I64 K64 G65:H65 L65 G66:L70 G71:I71 K71 G72:H72 L72 G73:L77 G78:I78 K78 G79:H79 L79 G80:L84 G85:I85 K85 G86:H86 L86 G87:L91 G92:I92 K92 G93:H93 L93 C2:C93" xr:uid="{00000000-0002-0000-0100-000000000000}">
      <formula1>"Yes,No"</formula1>
      <formula2>0</formula2>
    </dataValidation>
    <dataValidation type="decimal" operator="greaterThanOrEqual" allowBlank="1" sqref="O2:P93" xr:uid="{00000000-0002-0000-0100-000002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51"/>
  <sheetViews>
    <sheetView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ColWidth="8.6640625" defaultRowHeight="14.4" x14ac:dyDescent="0.3"/>
  <cols>
    <col min="1" max="1" width="5" customWidth="1"/>
    <col min="2" max="2" width="22" customWidth="1"/>
    <col min="3" max="3" width="15" customWidth="1"/>
    <col min="4" max="4" width="44" customWidth="1"/>
    <col min="5" max="6" width="10" customWidth="1"/>
    <col min="7" max="7" width="13" customWidth="1"/>
    <col min="8" max="8" width="12" customWidth="1"/>
    <col min="9" max="9" width="11" customWidth="1"/>
    <col min="10" max="10" width="9" customWidth="1"/>
    <col min="11" max="11" width="40" customWidth="1"/>
  </cols>
  <sheetData>
    <row r="1" spans="1:11" ht="30" customHeight="1" x14ac:dyDescent="0.3">
      <c r="A1" s="4" t="s">
        <v>95</v>
      </c>
      <c r="B1" s="4" t="s">
        <v>6</v>
      </c>
      <c r="C1" s="4" t="s">
        <v>7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100</v>
      </c>
      <c r="I1" s="4" t="s">
        <v>101</v>
      </c>
      <c r="J1" s="4" t="s">
        <v>102</v>
      </c>
      <c r="K1" s="4" t="s">
        <v>103</v>
      </c>
    </row>
    <row r="2" spans="1:11" x14ac:dyDescent="0.3">
      <c r="A2" s="16">
        <v>1</v>
      </c>
      <c r="B2" s="21" t="s">
        <v>13</v>
      </c>
      <c r="C2" s="16" t="s">
        <v>14</v>
      </c>
      <c r="D2" s="22" t="s">
        <v>104</v>
      </c>
      <c r="E2" s="23" t="s">
        <v>105</v>
      </c>
      <c r="F2" s="16" t="s">
        <v>106</v>
      </c>
      <c r="G2" s="16" t="s">
        <v>107</v>
      </c>
      <c r="H2" s="15" t="s">
        <v>108</v>
      </c>
      <c r="I2" s="24"/>
      <c r="J2" s="15"/>
      <c r="K2" s="19"/>
    </row>
    <row r="3" spans="1:11" x14ac:dyDescent="0.3">
      <c r="A3" s="16">
        <v>2</v>
      </c>
      <c r="B3" s="21" t="s">
        <v>13</v>
      </c>
      <c r="C3" s="16" t="s">
        <v>14</v>
      </c>
      <c r="D3" s="22" t="s">
        <v>109</v>
      </c>
      <c r="E3" s="23" t="s">
        <v>105</v>
      </c>
      <c r="F3" s="16" t="s">
        <v>106</v>
      </c>
      <c r="G3" s="16" t="s">
        <v>107</v>
      </c>
      <c r="H3" s="15" t="s">
        <v>108</v>
      </c>
      <c r="I3" s="24"/>
      <c r="J3" s="15"/>
      <c r="K3" s="19"/>
    </row>
    <row r="4" spans="1:11" x14ac:dyDescent="0.3">
      <c r="A4" s="16">
        <v>3</v>
      </c>
      <c r="B4" s="21" t="s">
        <v>13</v>
      </c>
      <c r="C4" s="16" t="s">
        <v>14</v>
      </c>
      <c r="D4" s="22" t="s">
        <v>110</v>
      </c>
      <c r="E4" s="23" t="s">
        <v>105</v>
      </c>
      <c r="F4" s="16" t="s">
        <v>106</v>
      </c>
      <c r="G4" s="16" t="s">
        <v>107</v>
      </c>
      <c r="H4" s="15" t="s">
        <v>108</v>
      </c>
      <c r="I4" s="24"/>
      <c r="J4" s="15"/>
      <c r="K4" s="19"/>
    </row>
    <row r="5" spans="1:11" x14ac:dyDescent="0.3">
      <c r="A5" s="16">
        <v>4</v>
      </c>
      <c r="B5" s="21" t="s">
        <v>13</v>
      </c>
      <c r="C5" s="16" t="s">
        <v>14</v>
      </c>
      <c r="D5" s="22" t="s">
        <v>111</v>
      </c>
      <c r="E5" s="23" t="s">
        <v>105</v>
      </c>
      <c r="F5" s="16" t="s">
        <v>112</v>
      </c>
      <c r="G5" s="16" t="s">
        <v>107</v>
      </c>
      <c r="H5" s="15" t="s">
        <v>108</v>
      </c>
      <c r="I5" s="24"/>
      <c r="J5" s="15"/>
      <c r="K5" s="19"/>
    </row>
    <row r="6" spans="1:11" x14ac:dyDescent="0.3">
      <c r="A6" s="16">
        <v>5</v>
      </c>
      <c r="B6" s="21" t="s">
        <v>13</v>
      </c>
      <c r="C6" s="16" t="s">
        <v>14</v>
      </c>
      <c r="D6" s="22" t="s">
        <v>113</v>
      </c>
      <c r="E6" s="23" t="s">
        <v>105</v>
      </c>
      <c r="F6" s="16" t="s">
        <v>112</v>
      </c>
      <c r="G6" s="16" t="s">
        <v>107</v>
      </c>
      <c r="H6" s="15" t="s">
        <v>108</v>
      </c>
      <c r="I6" s="24"/>
      <c r="J6" s="15"/>
      <c r="K6" s="19"/>
    </row>
    <row r="7" spans="1:11" x14ac:dyDescent="0.3">
      <c r="A7" s="16">
        <v>6</v>
      </c>
      <c r="B7" s="21" t="s">
        <v>13</v>
      </c>
      <c r="C7" s="16" t="s">
        <v>14</v>
      </c>
      <c r="D7" s="22" t="s">
        <v>114</v>
      </c>
      <c r="E7" s="23" t="s">
        <v>105</v>
      </c>
      <c r="F7" s="16" t="s">
        <v>112</v>
      </c>
      <c r="G7" s="16" t="s">
        <v>107</v>
      </c>
      <c r="H7" s="15" t="s">
        <v>108</v>
      </c>
      <c r="I7" s="24"/>
      <c r="J7" s="15"/>
      <c r="K7" s="19"/>
    </row>
    <row r="8" spans="1:11" x14ac:dyDescent="0.3">
      <c r="A8" s="16">
        <v>7</v>
      </c>
      <c r="B8" s="21" t="s">
        <v>13</v>
      </c>
      <c r="C8" s="16" t="s">
        <v>14</v>
      </c>
      <c r="D8" s="22" t="s">
        <v>115</v>
      </c>
      <c r="E8" s="23" t="s">
        <v>105</v>
      </c>
      <c r="F8" s="16" t="s">
        <v>112</v>
      </c>
      <c r="G8" s="16" t="s">
        <v>107</v>
      </c>
      <c r="H8" s="15" t="s">
        <v>108</v>
      </c>
      <c r="I8" s="24"/>
      <c r="J8" s="15"/>
      <c r="K8" s="19"/>
    </row>
    <row r="9" spans="1:11" x14ac:dyDescent="0.3">
      <c r="A9" s="16">
        <v>8</v>
      </c>
      <c r="B9" s="21" t="s">
        <v>13</v>
      </c>
      <c r="C9" s="16" t="s">
        <v>14</v>
      </c>
      <c r="D9" s="22" t="s">
        <v>116</v>
      </c>
      <c r="E9" s="23" t="s">
        <v>105</v>
      </c>
      <c r="F9" s="16" t="s">
        <v>112</v>
      </c>
      <c r="G9" s="16" t="s">
        <v>107</v>
      </c>
      <c r="H9" s="15" t="s">
        <v>108</v>
      </c>
      <c r="I9" s="24"/>
      <c r="J9" s="15"/>
      <c r="K9" s="19"/>
    </row>
    <row r="10" spans="1:11" x14ac:dyDescent="0.3">
      <c r="A10" s="16">
        <v>9</v>
      </c>
      <c r="B10" s="21" t="s">
        <v>13</v>
      </c>
      <c r="C10" s="16" t="s">
        <v>14</v>
      </c>
      <c r="D10" s="22" t="s">
        <v>117</v>
      </c>
      <c r="E10" s="23" t="s">
        <v>105</v>
      </c>
      <c r="F10" s="16" t="s">
        <v>112</v>
      </c>
      <c r="G10" s="16" t="s">
        <v>107</v>
      </c>
      <c r="H10" s="15" t="s">
        <v>108</v>
      </c>
      <c r="I10" s="24"/>
      <c r="J10" s="15"/>
      <c r="K10" s="19"/>
    </row>
    <row r="11" spans="1:11" x14ac:dyDescent="0.3">
      <c r="A11" s="25">
        <v>10</v>
      </c>
      <c r="B11" s="26" t="s">
        <v>13</v>
      </c>
      <c r="C11" s="25" t="s">
        <v>14</v>
      </c>
      <c r="D11" s="22" t="s">
        <v>118</v>
      </c>
      <c r="E11" s="23" t="s">
        <v>105</v>
      </c>
      <c r="F11" s="25" t="s">
        <v>106</v>
      </c>
      <c r="G11" s="25" t="s">
        <v>119</v>
      </c>
      <c r="H11" s="15" t="s">
        <v>108</v>
      </c>
      <c r="I11" s="24"/>
      <c r="J11" s="15"/>
      <c r="K11" s="19"/>
    </row>
    <row r="12" spans="1:11" x14ac:dyDescent="0.3">
      <c r="A12" s="25">
        <v>11</v>
      </c>
      <c r="B12" s="26" t="s">
        <v>13</v>
      </c>
      <c r="C12" s="25" t="s">
        <v>14</v>
      </c>
      <c r="D12" s="22" t="s">
        <v>120</v>
      </c>
      <c r="E12" s="23" t="s">
        <v>105</v>
      </c>
      <c r="F12" s="25" t="s">
        <v>106</v>
      </c>
      <c r="G12" s="25" t="s">
        <v>119</v>
      </c>
      <c r="H12" s="15" t="s">
        <v>108</v>
      </c>
      <c r="I12" s="24"/>
      <c r="J12" s="15"/>
      <c r="K12" s="19"/>
    </row>
    <row r="13" spans="1:11" x14ac:dyDescent="0.3">
      <c r="A13" s="25">
        <v>12</v>
      </c>
      <c r="B13" s="26" t="s">
        <v>13</v>
      </c>
      <c r="C13" s="25" t="s">
        <v>14</v>
      </c>
      <c r="D13" s="22" t="s">
        <v>121</v>
      </c>
      <c r="E13" s="23" t="s">
        <v>105</v>
      </c>
      <c r="F13" s="25" t="s">
        <v>106</v>
      </c>
      <c r="G13" s="25" t="s">
        <v>119</v>
      </c>
      <c r="H13" s="15" t="s">
        <v>108</v>
      </c>
      <c r="I13" s="24"/>
      <c r="J13" s="15"/>
      <c r="K13" s="19"/>
    </row>
    <row r="14" spans="1:11" x14ac:dyDescent="0.3">
      <c r="A14" s="25">
        <v>13</v>
      </c>
      <c r="B14" s="26" t="s">
        <v>13</v>
      </c>
      <c r="C14" s="25" t="s">
        <v>14</v>
      </c>
      <c r="D14" s="22" t="s">
        <v>122</v>
      </c>
      <c r="E14" s="23" t="s">
        <v>105</v>
      </c>
      <c r="F14" s="25" t="s">
        <v>106</v>
      </c>
      <c r="G14" s="25" t="s">
        <v>119</v>
      </c>
      <c r="H14" s="15" t="s">
        <v>108</v>
      </c>
      <c r="I14" s="24"/>
      <c r="J14" s="15"/>
      <c r="K14" s="19"/>
    </row>
    <row r="15" spans="1:11" x14ac:dyDescent="0.3">
      <c r="A15" s="25">
        <v>14</v>
      </c>
      <c r="B15" s="26" t="s">
        <v>13</v>
      </c>
      <c r="C15" s="25" t="s">
        <v>14</v>
      </c>
      <c r="D15" s="22" t="s">
        <v>123</v>
      </c>
      <c r="E15" s="23" t="s">
        <v>105</v>
      </c>
      <c r="F15" s="25" t="s">
        <v>106</v>
      </c>
      <c r="G15" s="25" t="s">
        <v>119</v>
      </c>
      <c r="H15" s="15" t="s">
        <v>108</v>
      </c>
      <c r="I15" s="24"/>
      <c r="J15" s="15"/>
      <c r="K15" s="19"/>
    </row>
    <row r="16" spans="1:11" x14ac:dyDescent="0.3">
      <c r="A16" s="25">
        <v>15</v>
      </c>
      <c r="B16" s="26" t="s">
        <v>13</v>
      </c>
      <c r="C16" s="25" t="s">
        <v>14</v>
      </c>
      <c r="D16" s="22" t="s">
        <v>124</v>
      </c>
      <c r="E16" s="23" t="s">
        <v>105</v>
      </c>
      <c r="F16" s="25" t="s">
        <v>106</v>
      </c>
      <c r="G16" s="25" t="s">
        <v>119</v>
      </c>
      <c r="H16" s="15" t="s">
        <v>108</v>
      </c>
      <c r="I16" s="24"/>
      <c r="J16" s="15"/>
      <c r="K16" s="19"/>
    </row>
    <row r="17" spans="1:11" x14ac:dyDescent="0.3">
      <c r="A17" s="25">
        <v>16</v>
      </c>
      <c r="B17" s="26" t="s">
        <v>13</v>
      </c>
      <c r="C17" s="25" t="s">
        <v>14</v>
      </c>
      <c r="D17" s="22" t="s">
        <v>125</v>
      </c>
      <c r="E17" s="23" t="s">
        <v>105</v>
      </c>
      <c r="F17" s="25" t="s">
        <v>112</v>
      </c>
      <c r="G17" s="25" t="s">
        <v>119</v>
      </c>
      <c r="H17" s="15" t="s">
        <v>108</v>
      </c>
      <c r="I17" s="24"/>
      <c r="J17" s="15"/>
      <c r="K17" s="19"/>
    </row>
    <row r="18" spans="1:11" x14ac:dyDescent="0.3">
      <c r="A18" s="25">
        <v>17</v>
      </c>
      <c r="B18" s="26" t="s">
        <v>13</v>
      </c>
      <c r="C18" s="25" t="s">
        <v>14</v>
      </c>
      <c r="D18" s="22" t="s">
        <v>126</v>
      </c>
      <c r="E18" s="23" t="s">
        <v>105</v>
      </c>
      <c r="F18" s="25" t="s">
        <v>112</v>
      </c>
      <c r="G18" s="25" t="s">
        <v>119</v>
      </c>
      <c r="H18" s="15" t="s">
        <v>108</v>
      </c>
      <c r="I18" s="24"/>
      <c r="J18" s="15"/>
      <c r="K18" s="19"/>
    </row>
    <row r="19" spans="1:11" x14ac:dyDescent="0.3">
      <c r="A19" s="25">
        <v>18</v>
      </c>
      <c r="B19" s="26" t="s">
        <v>13</v>
      </c>
      <c r="C19" s="25" t="s">
        <v>14</v>
      </c>
      <c r="D19" s="22" t="s">
        <v>127</v>
      </c>
      <c r="E19" s="23" t="s">
        <v>105</v>
      </c>
      <c r="F19" s="25" t="s">
        <v>112</v>
      </c>
      <c r="G19" s="25" t="s">
        <v>119</v>
      </c>
      <c r="H19" s="15" t="s">
        <v>108</v>
      </c>
      <c r="I19" s="24"/>
      <c r="J19" s="15"/>
      <c r="K19" s="19"/>
    </row>
    <row r="20" spans="1:11" x14ac:dyDescent="0.3">
      <c r="A20" s="25">
        <v>19</v>
      </c>
      <c r="B20" s="26" t="s">
        <v>13</v>
      </c>
      <c r="C20" s="25" t="s">
        <v>14</v>
      </c>
      <c r="D20" s="22" t="s">
        <v>128</v>
      </c>
      <c r="E20" s="23" t="s">
        <v>105</v>
      </c>
      <c r="F20" s="25" t="s">
        <v>112</v>
      </c>
      <c r="G20" s="25" t="s">
        <v>119</v>
      </c>
      <c r="H20" s="15" t="s">
        <v>108</v>
      </c>
      <c r="I20" s="24"/>
      <c r="J20" s="15"/>
      <c r="K20" s="19"/>
    </row>
    <row r="21" spans="1:11" x14ac:dyDescent="0.3">
      <c r="A21" s="25">
        <v>20</v>
      </c>
      <c r="B21" s="26" t="s">
        <v>13</v>
      </c>
      <c r="C21" s="25" t="s">
        <v>14</v>
      </c>
      <c r="D21" s="22" t="s">
        <v>129</v>
      </c>
      <c r="E21" s="23" t="s">
        <v>105</v>
      </c>
      <c r="F21" s="25" t="s">
        <v>112</v>
      </c>
      <c r="G21" s="25" t="s">
        <v>119</v>
      </c>
      <c r="H21" s="15" t="s">
        <v>108</v>
      </c>
      <c r="I21" s="24"/>
      <c r="J21" s="15"/>
      <c r="K21" s="19"/>
    </row>
    <row r="22" spans="1:11" x14ac:dyDescent="0.3">
      <c r="A22" s="25">
        <v>21</v>
      </c>
      <c r="B22" s="26" t="s">
        <v>13</v>
      </c>
      <c r="C22" s="25" t="s">
        <v>14</v>
      </c>
      <c r="D22" s="22" t="s">
        <v>130</v>
      </c>
      <c r="E22" s="23" t="s">
        <v>105</v>
      </c>
      <c r="F22" s="25" t="s">
        <v>112</v>
      </c>
      <c r="G22" s="25" t="s">
        <v>119</v>
      </c>
      <c r="H22" s="15" t="s">
        <v>108</v>
      </c>
      <c r="I22" s="24"/>
      <c r="J22" s="15"/>
      <c r="K22" s="19"/>
    </row>
    <row r="23" spans="1:11" x14ac:dyDescent="0.3">
      <c r="A23" s="25">
        <v>22</v>
      </c>
      <c r="B23" s="26" t="s">
        <v>13</v>
      </c>
      <c r="C23" s="25" t="s">
        <v>14</v>
      </c>
      <c r="D23" s="22" t="s">
        <v>131</v>
      </c>
      <c r="E23" s="23" t="s">
        <v>105</v>
      </c>
      <c r="F23" s="25" t="s">
        <v>132</v>
      </c>
      <c r="G23" s="25" t="s">
        <v>119</v>
      </c>
      <c r="H23" s="15" t="s">
        <v>108</v>
      </c>
      <c r="I23" s="24"/>
      <c r="J23" s="15"/>
      <c r="K23" s="19"/>
    </row>
    <row r="24" spans="1:11" x14ac:dyDescent="0.3">
      <c r="A24" s="16">
        <v>23</v>
      </c>
      <c r="B24" s="21" t="s">
        <v>16</v>
      </c>
      <c r="C24" s="16" t="s">
        <v>17</v>
      </c>
      <c r="D24" s="22" t="s">
        <v>133</v>
      </c>
      <c r="E24" s="23" t="s">
        <v>105</v>
      </c>
      <c r="F24" s="16" t="s">
        <v>106</v>
      </c>
      <c r="G24" s="16" t="s">
        <v>107</v>
      </c>
      <c r="H24" s="15" t="s">
        <v>108</v>
      </c>
      <c r="I24" s="24"/>
      <c r="J24" s="15"/>
      <c r="K24" s="19"/>
    </row>
    <row r="25" spans="1:11" x14ac:dyDescent="0.3">
      <c r="A25" s="16">
        <v>24</v>
      </c>
      <c r="B25" s="21" t="s">
        <v>16</v>
      </c>
      <c r="C25" s="16" t="s">
        <v>17</v>
      </c>
      <c r="D25" s="22" t="s">
        <v>134</v>
      </c>
      <c r="E25" s="23" t="s">
        <v>105</v>
      </c>
      <c r="F25" s="16" t="s">
        <v>112</v>
      </c>
      <c r="G25" s="16" t="s">
        <v>107</v>
      </c>
      <c r="H25" s="15" t="s">
        <v>108</v>
      </c>
      <c r="I25" s="24"/>
      <c r="J25" s="15"/>
      <c r="K25" s="19"/>
    </row>
    <row r="26" spans="1:11" x14ac:dyDescent="0.3">
      <c r="A26" s="16">
        <v>25</v>
      </c>
      <c r="B26" s="21" t="s">
        <v>16</v>
      </c>
      <c r="C26" s="16" t="s">
        <v>17</v>
      </c>
      <c r="D26" s="22" t="s">
        <v>135</v>
      </c>
      <c r="E26" s="23" t="s">
        <v>105</v>
      </c>
      <c r="F26" s="16" t="s">
        <v>112</v>
      </c>
      <c r="G26" s="16" t="s">
        <v>107</v>
      </c>
      <c r="H26" s="15" t="s">
        <v>108</v>
      </c>
      <c r="I26" s="24"/>
      <c r="J26" s="15"/>
      <c r="K26" s="19"/>
    </row>
    <row r="27" spans="1:11" x14ac:dyDescent="0.3">
      <c r="A27" s="16">
        <v>26</v>
      </c>
      <c r="B27" s="21" t="s">
        <v>16</v>
      </c>
      <c r="C27" s="16" t="s">
        <v>17</v>
      </c>
      <c r="D27" s="22" t="s">
        <v>136</v>
      </c>
      <c r="E27" s="23" t="s">
        <v>105</v>
      </c>
      <c r="F27" s="16" t="s">
        <v>112</v>
      </c>
      <c r="G27" s="16" t="s">
        <v>107</v>
      </c>
      <c r="H27" s="15" t="s">
        <v>108</v>
      </c>
      <c r="I27" s="24"/>
      <c r="J27" s="15"/>
      <c r="K27" s="19"/>
    </row>
    <row r="28" spans="1:11" x14ac:dyDescent="0.3">
      <c r="A28" s="16">
        <v>27</v>
      </c>
      <c r="B28" s="21" t="s">
        <v>16</v>
      </c>
      <c r="C28" s="16" t="s">
        <v>17</v>
      </c>
      <c r="D28" s="22" t="s">
        <v>137</v>
      </c>
      <c r="E28" s="23" t="s">
        <v>105</v>
      </c>
      <c r="F28" s="16" t="s">
        <v>132</v>
      </c>
      <c r="G28" s="16" t="s">
        <v>107</v>
      </c>
      <c r="H28" s="15" t="s">
        <v>108</v>
      </c>
      <c r="I28" s="24"/>
      <c r="J28" s="15"/>
      <c r="K28" s="19"/>
    </row>
    <row r="29" spans="1:11" x14ac:dyDescent="0.3">
      <c r="A29" s="25">
        <v>28</v>
      </c>
      <c r="B29" s="26" t="s">
        <v>16</v>
      </c>
      <c r="C29" s="25" t="s">
        <v>17</v>
      </c>
      <c r="D29" s="22" t="s">
        <v>138</v>
      </c>
      <c r="E29" s="23" t="s">
        <v>105</v>
      </c>
      <c r="F29" s="25" t="s">
        <v>106</v>
      </c>
      <c r="G29" s="25" t="s">
        <v>119</v>
      </c>
      <c r="H29" s="15" t="s">
        <v>108</v>
      </c>
      <c r="I29" s="24"/>
      <c r="J29" s="15"/>
      <c r="K29" s="19"/>
    </row>
    <row r="30" spans="1:11" x14ac:dyDescent="0.3">
      <c r="A30" s="25">
        <v>29</v>
      </c>
      <c r="B30" s="26" t="s">
        <v>16</v>
      </c>
      <c r="C30" s="25" t="s">
        <v>17</v>
      </c>
      <c r="D30" s="22" t="s">
        <v>139</v>
      </c>
      <c r="E30" s="23" t="s">
        <v>105</v>
      </c>
      <c r="F30" s="25" t="s">
        <v>106</v>
      </c>
      <c r="G30" s="25" t="s">
        <v>119</v>
      </c>
      <c r="H30" s="15" t="s">
        <v>108</v>
      </c>
      <c r="I30" s="24"/>
      <c r="J30" s="15"/>
      <c r="K30" s="19"/>
    </row>
    <row r="31" spans="1:11" x14ac:dyDescent="0.3">
      <c r="A31" s="25">
        <v>30</v>
      </c>
      <c r="B31" s="26" t="s">
        <v>16</v>
      </c>
      <c r="C31" s="25" t="s">
        <v>17</v>
      </c>
      <c r="D31" s="22" t="s">
        <v>140</v>
      </c>
      <c r="E31" s="23" t="s">
        <v>105</v>
      </c>
      <c r="F31" s="25" t="s">
        <v>106</v>
      </c>
      <c r="G31" s="25" t="s">
        <v>119</v>
      </c>
      <c r="H31" s="15" t="s">
        <v>108</v>
      </c>
      <c r="I31" s="24"/>
      <c r="J31" s="15"/>
      <c r="K31" s="19"/>
    </row>
    <row r="32" spans="1:11" x14ac:dyDescent="0.3">
      <c r="A32" s="25">
        <v>31</v>
      </c>
      <c r="B32" s="26" t="s">
        <v>16</v>
      </c>
      <c r="C32" s="25" t="s">
        <v>17</v>
      </c>
      <c r="D32" s="22" t="s">
        <v>141</v>
      </c>
      <c r="E32" s="23" t="s">
        <v>105</v>
      </c>
      <c r="F32" s="25" t="s">
        <v>106</v>
      </c>
      <c r="G32" s="25" t="s">
        <v>119</v>
      </c>
      <c r="H32" s="15" t="s">
        <v>108</v>
      </c>
      <c r="I32" s="24"/>
      <c r="J32" s="15"/>
      <c r="K32" s="19"/>
    </row>
    <row r="33" spans="1:11" x14ac:dyDescent="0.3">
      <c r="A33" s="25">
        <v>32</v>
      </c>
      <c r="B33" s="26" t="s">
        <v>16</v>
      </c>
      <c r="C33" s="25" t="s">
        <v>17</v>
      </c>
      <c r="D33" s="22" t="s">
        <v>142</v>
      </c>
      <c r="E33" s="23" t="s">
        <v>105</v>
      </c>
      <c r="F33" s="25" t="s">
        <v>106</v>
      </c>
      <c r="G33" s="25" t="s">
        <v>119</v>
      </c>
      <c r="H33" s="15" t="s">
        <v>108</v>
      </c>
      <c r="I33" s="24"/>
      <c r="J33" s="15"/>
      <c r="K33" s="19"/>
    </row>
    <row r="34" spans="1:11" x14ac:dyDescent="0.3">
      <c r="A34" s="25">
        <v>33</v>
      </c>
      <c r="B34" s="26" t="s">
        <v>16</v>
      </c>
      <c r="C34" s="25" t="s">
        <v>17</v>
      </c>
      <c r="D34" s="22" t="s">
        <v>143</v>
      </c>
      <c r="E34" s="23" t="s">
        <v>105</v>
      </c>
      <c r="F34" s="25" t="s">
        <v>112</v>
      </c>
      <c r="G34" s="25" t="s">
        <v>119</v>
      </c>
      <c r="H34" s="15" t="s">
        <v>108</v>
      </c>
      <c r="I34" s="24"/>
      <c r="J34" s="15"/>
      <c r="K34" s="19"/>
    </row>
    <row r="35" spans="1:11" x14ac:dyDescent="0.3">
      <c r="A35" s="25">
        <v>34</v>
      </c>
      <c r="B35" s="26" t="s">
        <v>16</v>
      </c>
      <c r="C35" s="25" t="s">
        <v>17</v>
      </c>
      <c r="D35" s="22" t="s">
        <v>144</v>
      </c>
      <c r="E35" s="23" t="s">
        <v>105</v>
      </c>
      <c r="F35" s="25" t="s">
        <v>112</v>
      </c>
      <c r="G35" s="25" t="s">
        <v>119</v>
      </c>
      <c r="H35" s="15" t="s">
        <v>108</v>
      </c>
      <c r="I35" s="24"/>
      <c r="J35" s="15"/>
      <c r="K35" s="19"/>
    </row>
    <row r="36" spans="1:11" x14ac:dyDescent="0.3">
      <c r="A36" s="25">
        <v>35</v>
      </c>
      <c r="B36" s="26" t="s">
        <v>16</v>
      </c>
      <c r="C36" s="25" t="s">
        <v>17</v>
      </c>
      <c r="D36" s="22" t="s">
        <v>145</v>
      </c>
      <c r="E36" s="23" t="s">
        <v>105</v>
      </c>
      <c r="F36" s="25" t="s">
        <v>112</v>
      </c>
      <c r="G36" s="25" t="s">
        <v>119</v>
      </c>
      <c r="H36" s="15" t="s">
        <v>108</v>
      </c>
      <c r="I36" s="24"/>
      <c r="J36" s="15"/>
      <c r="K36" s="19"/>
    </row>
    <row r="37" spans="1:11" x14ac:dyDescent="0.3">
      <c r="A37" s="16">
        <v>36</v>
      </c>
      <c r="B37" s="21" t="s">
        <v>19</v>
      </c>
      <c r="C37" s="16" t="s">
        <v>17</v>
      </c>
      <c r="D37" s="22" t="s">
        <v>146</v>
      </c>
      <c r="E37" s="23" t="s">
        <v>105</v>
      </c>
      <c r="F37" s="16" t="s">
        <v>106</v>
      </c>
      <c r="G37" s="16" t="s">
        <v>107</v>
      </c>
      <c r="H37" s="15" t="s">
        <v>108</v>
      </c>
      <c r="I37" s="24"/>
      <c r="J37" s="15"/>
      <c r="K37" s="19"/>
    </row>
    <row r="38" spans="1:11" x14ac:dyDescent="0.3">
      <c r="A38" s="16">
        <v>37</v>
      </c>
      <c r="B38" s="21" t="s">
        <v>19</v>
      </c>
      <c r="C38" s="16" t="s">
        <v>17</v>
      </c>
      <c r="D38" s="22" t="s">
        <v>147</v>
      </c>
      <c r="E38" s="23" t="s">
        <v>105</v>
      </c>
      <c r="F38" s="16" t="s">
        <v>112</v>
      </c>
      <c r="G38" s="16" t="s">
        <v>107</v>
      </c>
      <c r="H38" s="15" t="s">
        <v>108</v>
      </c>
      <c r="I38" s="24"/>
      <c r="J38" s="15"/>
      <c r="K38" s="19"/>
    </row>
    <row r="39" spans="1:11" x14ac:dyDescent="0.3">
      <c r="A39" s="16">
        <v>38</v>
      </c>
      <c r="B39" s="21" t="s">
        <v>19</v>
      </c>
      <c r="C39" s="16" t="s">
        <v>17</v>
      </c>
      <c r="D39" s="22" t="s">
        <v>148</v>
      </c>
      <c r="E39" s="23" t="s">
        <v>105</v>
      </c>
      <c r="F39" s="16" t="s">
        <v>112</v>
      </c>
      <c r="G39" s="16" t="s">
        <v>107</v>
      </c>
      <c r="H39" s="15" t="s">
        <v>108</v>
      </c>
      <c r="I39" s="24"/>
      <c r="J39" s="15"/>
      <c r="K39" s="19"/>
    </row>
    <row r="40" spans="1:11" x14ac:dyDescent="0.3">
      <c r="A40" s="16">
        <v>39</v>
      </c>
      <c r="B40" s="21" t="s">
        <v>19</v>
      </c>
      <c r="C40" s="16" t="s">
        <v>17</v>
      </c>
      <c r="D40" s="22" t="s">
        <v>149</v>
      </c>
      <c r="E40" s="23" t="s">
        <v>105</v>
      </c>
      <c r="F40" s="16" t="s">
        <v>112</v>
      </c>
      <c r="G40" s="16" t="s">
        <v>107</v>
      </c>
      <c r="H40" s="15" t="s">
        <v>108</v>
      </c>
      <c r="I40" s="24"/>
      <c r="J40" s="15"/>
      <c r="K40" s="19"/>
    </row>
    <row r="41" spans="1:11" x14ac:dyDescent="0.3">
      <c r="A41" s="16">
        <v>40</v>
      </c>
      <c r="B41" s="21" t="s">
        <v>19</v>
      </c>
      <c r="C41" s="16" t="s">
        <v>17</v>
      </c>
      <c r="D41" s="22" t="s">
        <v>150</v>
      </c>
      <c r="E41" s="23" t="s">
        <v>105</v>
      </c>
      <c r="F41" s="16" t="s">
        <v>132</v>
      </c>
      <c r="G41" s="16" t="s">
        <v>107</v>
      </c>
      <c r="H41" s="15" t="s">
        <v>108</v>
      </c>
      <c r="I41" s="24"/>
      <c r="J41" s="15"/>
      <c r="K41" s="19"/>
    </row>
    <row r="42" spans="1:11" x14ac:dyDescent="0.3">
      <c r="A42" s="16">
        <v>41</v>
      </c>
      <c r="B42" s="21" t="s">
        <v>19</v>
      </c>
      <c r="C42" s="16" t="s">
        <v>17</v>
      </c>
      <c r="D42" s="22" t="s">
        <v>151</v>
      </c>
      <c r="E42" s="23" t="s">
        <v>105</v>
      </c>
      <c r="F42" s="16" t="s">
        <v>132</v>
      </c>
      <c r="G42" s="16" t="s">
        <v>107</v>
      </c>
      <c r="H42" s="15" t="s">
        <v>108</v>
      </c>
      <c r="I42" s="24"/>
      <c r="J42" s="15"/>
      <c r="K42" s="19"/>
    </row>
    <row r="43" spans="1:11" x14ac:dyDescent="0.3">
      <c r="A43" s="25">
        <v>42</v>
      </c>
      <c r="B43" s="26" t="s">
        <v>19</v>
      </c>
      <c r="C43" s="25" t="s">
        <v>17</v>
      </c>
      <c r="D43" s="22" t="s">
        <v>152</v>
      </c>
      <c r="E43" s="23" t="s">
        <v>105</v>
      </c>
      <c r="F43" s="25" t="s">
        <v>106</v>
      </c>
      <c r="G43" s="25" t="s">
        <v>119</v>
      </c>
      <c r="H43" s="15" t="s">
        <v>108</v>
      </c>
      <c r="I43" s="24"/>
      <c r="J43" s="15"/>
      <c r="K43" s="19"/>
    </row>
    <row r="44" spans="1:11" x14ac:dyDescent="0.3">
      <c r="A44" s="25">
        <v>43</v>
      </c>
      <c r="B44" s="26" t="s">
        <v>19</v>
      </c>
      <c r="C44" s="25" t="s">
        <v>17</v>
      </c>
      <c r="D44" s="22" t="s">
        <v>153</v>
      </c>
      <c r="E44" s="23" t="s">
        <v>105</v>
      </c>
      <c r="F44" s="25" t="s">
        <v>112</v>
      </c>
      <c r="G44" s="25" t="s">
        <v>119</v>
      </c>
      <c r="H44" s="15" t="s">
        <v>108</v>
      </c>
      <c r="I44" s="24"/>
      <c r="J44" s="15"/>
      <c r="K44" s="19"/>
    </row>
    <row r="45" spans="1:11" x14ac:dyDescent="0.3">
      <c r="A45" s="25">
        <v>44</v>
      </c>
      <c r="B45" s="26" t="s">
        <v>19</v>
      </c>
      <c r="C45" s="25" t="s">
        <v>17</v>
      </c>
      <c r="D45" s="22" t="s">
        <v>154</v>
      </c>
      <c r="E45" s="23" t="s">
        <v>105</v>
      </c>
      <c r="F45" s="25" t="s">
        <v>112</v>
      </c>
      <c r="G45" s="25" t="s">
        <v>119</v>
      </c>
      <c r="H45" s="15" t="s">
        <v>108</v>
      </c>
      <c r="I45" s="24"/>
      <c r="J45" s="15"/>
      <c r="K45" s="19"/>
    </row>
    <row r="46" spans="1:11" x14ac:dyDescent="0.3">
      <c r="A46" s="16">
        <v>45</v>
      </c>
      <c r="B46" s="21" t="s">
        <v>21</v>
      </c>
      <c r="C46" s="16" t="s">
        <v>17</v>
      </c>
      <c r="D46" s="22" t="s">
        <v>155</v>
      </c>
      <c r="E46" s="23" t="s">
        <v>105</v>
      </c>
      <c r="F46" s="16" t="s">
        <v>106</v>
      </c>
      <c r="G46" s="16" t="s">
        <v>107</v>
      </c>
      <c r="H46" s="15" t="s">
        <v>108</v>
      </c>
      <c r="I46" s="24"/>
      <c r="J46" s="15"/>
      <c r="K46" s="19"/>
    </row>
    <row r="47" spans="1:11" x14ac:dyDescent="0.3">
      <c r="A47" s="16">
        <v>46</v>
      </c>
      <c r="B47" s="21" t="s">
        <v>21</v>
      </c>
      <c r="C47" s="16" t="s">
        <v>17</v>
      </c>
      <c r="D47" s="22" t="s">
        <v>156</v>
      </c>
      <c r="E47" s="23" t="s">
        <v>105</v>
      </c>
      <c r="F47" s="16" t="s">
        <v>112</v>
      </c>
      <c r="G47" s="16" t="s">
        <v>107</v>
      </c>
      <c r="H47" s="15" t="s">
        <v>108</v>
      </c>
      <c r="I47" s="24"/>
      <c r="J47" s="15"/>
      <c r="K47" s="19"/>
    </row>
    <row r="48" spans="1:11" x14ac:dyDescent="0.3">
      <c r="A48" s="16">
        <v>47</v>
      </c>
      <c r="B48" s="21" t="s">
        <v>21</v>
      </c>
      <c r="C48" s="16" t="s">
        <v>17</v>
      </c>
      <c r="D48" s="22" t="s">
        <v>157</v>
      </c>
      <c r="E48" s="23" t="s">
        <v>105</v>
      </c>
      <c r="F48" s="16" t="s">
        <v>112</v>
      </c>
      <c r="G48" s="16" t="s">
        <v>107</v>
      </c>
      <c r="H48" s="15" t="s">
        <v>108</v>
      </c>
      <c r="I48" s="24"/>
      <c r="J48" s="15"/>
      <c r="K48" s="19"/>
    </row>
    <row r="49" spans="1:11" x14ac:dyDescent="0.3">
      <c r="A49" s="16">
        <v>48</v>
      </c>
      <c r="B49" s="21" t="s">
        <v>21</v>
      </c>
      <c r="C49" s="16" t="s">
        <v>17</v>
      </c>
      <c r="D49" s="22" t="s">
        <v>158</v>
      </c>
      <c r="E49" s="23" t="s">
        <v>105</v>
      </c>
      <c r="F49" s="16" t="s">
        <v>112</v>
      </c>
      <c r="G49" s="16" t="s">
        <v>107</v>
      </c>
      <c r="H49" s="15" t="s">
        <v>108</v>
      </c>
      <c r="I49" s="24"/>
      <c r="J49" s="15"/>
      <c r="K49" s="19"/>
    </row>
    <row r="50" spans="1:11" x14ac:dyDescent="0.3">
      <c r="A50" s="16">
        <v>49</v>
      </c>
      <c r="B50" s="21" t="s">
        <v>21</v>
      </c>
      <c r="C50" s="16" t="s">
        <v>17</v>
      </c>
      <c r="D50" s="22" t="s">
        <v>159</v>
      </c>
      <c r="E50" s="23" t="s">
        <v>105</v>
      </c>
      <c r="F50" s="16" t="s">
        <v>112</v>
      </c>
      <c r="G50" s="16" t="s">
        <v>107</v>
      </c>
      <c r="H50" s="15" t="s">
        <v>108</v>
      </c>
      <c r="I50" s="24"/>
      <c r="J50" s="15"/>
      <c r="K50" s="19"/>
    </row>
    <row r="51" spans="1:11" x14ac:dyDescent="0.3">
      <c r="A51" s="16">
        <v>50</v>
      </c>
      <c r="B51" s="21" t="s">
        <v>21</v>
      </c>
      <c r="C51" s="16" t="s">
        <v>17</v>
      </c>
      <c r="D51" s="22" t="s">
        <v>160</v>
      </c>
      <c r="E51" s="23" t="s">
        <v>105</v>
      </c>
      <c r="F51" s="16" t="s">
        <v>112</v>
      </c>
      <c r="G51" s="16" t="s">
        <v>107</v>
      </c>
      <c r="H51" s="15" t="s">
        <v>108</v>
      </c>
      <c r="I51" s="24"/>
      <c r="J51" s="15"/>
      <c r="K51" s="19"/>
    </row>
    <row r="52" spans="1:11" x14ac:dyDescent="0.3">
      <c r="A52" s="16">
        <v>51</v>
      </c>
      <c r="B52" s="21" t="s">
        <v>21</v>
      </c>
      <c r="C52" s="16" t="s">
        <v>17</v>
      </c>
      <c r="D52" s="22" t="s">
        <v>161</v>
      </c>
      <c r="E52" s="23" t="s">
        <v>105</v>
      </c>
      <c r="F52" s="16" t="s">
        <v>132</v>
      </c>
      <c r="G52" s="16" t="s">
        <v>107</v>
      </c>
      <c r="H52" s="15" t="s">
        <v>108</v>
      </c>
      <c r="I52" s="24"/>
      <c r="J52" s="15"/>
      <c r="K52" s="19"/>
    </row>
    <row r="53" spans="1:11" x14ac:dyDescent="0.3">
      <c r="A53" s="25">
        <v>52</v>
      </c>
      <c r="B53" s="26" t="s">
        <v>21</v>
      </c>
      <c r="C53" s="25" t="s">
        <v>17</v>
      </c>
      <c r="D53" s="22" t="s">
        <v>162</v>
      </c>
      <c r="E53" s="23" t="s">
        <v>105</v>
      </c>
      <c r="F53" s="25" t="s">
        <v>106</v>
      </c>
      <c r="G53" s="25" t="s">
        <v>119</v>
      </c>
      <c r="H53" s="15" t="s">
        <v>108</v>
      </c>
      <c r="I53" s="24"/>
      <c r="J53" s="15"/>
      <c r="K53" s="19"/>
    </row>
    <row r="54" spans="1:11" x14ac:dyDescent="0.3">
      <c r="A54" s="25">
        <v>53</v>
      </c>
      <c r="B54" s="26" t="s">
        <v>21</v>
      </c>
      <c r="C54" s="25" t="s">
        <v>17</v>
      </c>
      <c r="D54" s="22" t="s">
        <v>163</v>
      </c>
      <c r="E54" s="23" t="s">
        <v>105</v>
      </c>
      <c r="F54" s="25" t="s">
        <v>106</v>
      </c>
      <c r="G54" s="25" t="s">
        <v>119</v>
      </c>
      <c r="H54" s="15" t="s">
        <v>108</v>
      </c>
      <c r="I54" s="24"/>
      <c r="J54" s="15"/>
      <c r="K54" s="19"/>
    </row>
    <row r="55" spans="1:11" x14ac:dyDescent="0.3">
      <c r="A55" s="25">
        <v>54</v>
      </c>
      <c r="B55" s="26" t="s">
        <v>21</v>
      </c>
      <c r="C55" s="25" t="s">
        <v>17</v>
      </c>
      <c r="D55" s="22" t="s">
        <v>164</v>
      </c>
      <c r="E55" s="23" t="s">
        <v>105</v>
      </c>
      <c r="F55" s="25" t="s">
        <v>106</v>
      </c>
      <c r="G55" s="25" t="s">
        <v>119</v>
      </c>
      <c r="H55" s="15" t="s">
        <v>108</v>
      </c>
      <c r="I55" s="24"/>
      <c r="J55" s="15"/>
      <c r="K55" s="19"/>
    </row>
    <row r="56" spans="1:11" x14ac:dyDescent="0.3">
      <c r="A56" s="25">
        <v>55</v>
      </c>
      <c r="B56" s="26" t="s">
        <v>21</v>
      </c>
      <c r="C56" s="25" t="s">
        <v>17</v>
      </c>
      <c r="D56" s="22" t="s">
        <v>165</v>
      </c>
      <c r="E56" s="23" t="s">
        <v>105</v>
      </c>
      <c r="F56" s="25" t="s">
        <v>112</v>
      </c>
      <c r="G56" s="25" t="s">
        <v>119</v>
      </c>
      <c r="H56" s="15" t="s">
        <v>108</v>
      </c>
      <c r="I56" s="24"/>
      <c r="J56" s="15"/>
      <c r="K56" s="19"/>
    </row>
    <row r="57" spans="1:11" x14ac:dyDescent="0.3">
      <c r="A57" s="25">
        <v>56</v>
      </c>
      <c r="B57" s="26" t="s">
        <v>21</v>
      </c>
      <c r="C57" s="25" t="s">
        <v>17</v>
      </c>
      <c r="D57" s="22" t="s">
        <v>166</v>
      </c>
      <c r="E57" s="23" t="s">
        <v>105</v>
      </c>
      <c r="F57" s="25" t="s">
        <v>112</v>
      </c>
      <c r="G57" s="25" t="s">
        <v>119</v>
      </c>
      <c r="H57" s="15" t="s">
        <v>108</v>
      </c>
      <c r="I57" s="24"/>
      <c r="J57" s="15"/>
      <c r="K57" s="19"/>
    </row>
    <row r="58" spans="1:11" x14ac:dyDescent="0.3">
      <c r="A58" s="25">
        <v>57</v>
      </c>
      <c r="B58" s="26" t="s">
        <v>21</v>
      </c>
      <c r="C58" s="25" t="s">
        <v>17</v>
      </c>
      <c r="D58" s="22" t="s">
        <v>167</v>
      </c>
      <c r="E58" s="23" t="s">
        <v>105</v>
      </c>
      <c r="F58" s="25" t="s">
        <v>112</v>
      </c>
      <c r="G58" s="25" t="s">
        <v>119</v>
      </c>
      <c r="H58" s="15" t="s">
        <v>108</v>
      </c>
      <c r="I58" s="24"/>
      <c r="J58" s="15"/>
      <c r="K58" s="19"/>
    </row>
    <row r="59" spans="1:11" x14ac:dyDescent="0.3">
      <c r="A59" s="25">
        <v>58</v>
      </c>
      <c r="B59" s="26" t="s">
        <v>21</v>
      </c>
      <c r="C59" s="25" t="s">
        <v>17</v>
      </c>
      <c r="D59" s="22" t="s">
        <v>168</v>
      </c>
      <c r="E59" s="23" t="s">
        <v>105</v>
      </c>
      <c r="F59" s="25" t="s">
        <v>112</v>
      </c>
      <c r="G59" s="25" t="s">
        <v>119</v>
      </c>
      <c r="H59" s="15" t="s">
        <v>108</v>
      </c>
      <c r="I59" s="24"/>
      <c r="J59" s="15"/>
      <c r="K59" s="19"/>
    </row>
    <row r="60" spans="1:11" x14ac:dyDescent="0.3">
      <c r="A60" s="25">
        <v>59</v>
      </c>
      <c r="B60" s="26" t="s">
        <v>21</v>
      </c>
      <c r="C60" s="25" t="s">
        <v>17</v>
      </c>
      <c r="D60" s="22" t="s">
        <v>169</v>
      </c>
      <c r="E60" s="23" t="s">
        <v>105</v>
      </c>
      <c r="F60" s="25" t="s">
        <v>132</v>
      </c>
      <c r="G60" s="25" t="s">
        <v>119</v>
      </c>
      <c r="H60" s="15" t="s">
        <v>108</v>
      </c>
      <c r="I60" s="24"/>
      <c r="J60" s="15"/>
      <c r="K60" s="19"/>
    </row>
    <row r="61" spans="1:11" x14ac:dyDescent="0.3">
      <c r="A61" s="16">
        <v>60</v>
      </c>
      <c r="B61" s="21" t="s">
        <v>23</v>
      </c>
      <c r="C61" s="16" t="s">
        <v>24</v>
      </c>
      <c r="D61" s="22" t="s">
        <v>23</v>
      </c>
      <c r="E61" s="23" t="s">
        <v>105</v>
      </c>
      <c r="F61" s="16" t="s">
        <v>106</v>
      </c>
      <c r="G61" s="16" t="s">
        <v>107</v>
      </c>
      <c r="H61" s="15" t="s">
        <v>108</v>
      </c>
      <c r="I61" s="24"/>
      <c r="J61" s="15"/>
      <c r="K61" s="19"/>
    </row>
    <row r="62" spans="1:11" x14ac:dyDescent="0.3">
      <c r="A62" s="16">
        <v>61</v>
      </c>
      <c r="B62" s="21" t="s">
        <v>23</v>
      </c>
      <c r="C62" s="16" t="s">
        <v>24</v>
      </c>
      <c r="D62" s="22" t="s">
        <v>170</v>
      </c>
      <c r="E62" s="23" t="s">
        <v>105</v>
      </c>
      <c r="F62" s="16" t="s">
        <v>112</v>
      </c>
      <c r="G62" s="16" t="s">
        <v>107</v>
      </c>
      <c r="H62" s="15" t="s">
        <v>108</v>
      </c>
      <c r="I62" s="24"/>
      <c r="J62" s="15"/>
      <c r="K62" s="19"/>
    </row>
    <row r="63" spans="1:11" x14ac:dyDescent="0.3">
      <c r="A63" s="16">
        <v>62</v>
      </c>
      <c r="B63" s="21" t="s">
        <v>23</v>
      </c>
      <c r="C63" s="16" t="s">
        <v>24</v>
      </c>
      <c r="D63" s="22" t="s">
        <v>171</v>
      </c>
      <c r="E63" s="23" t="s">
        <v>105</v>
      </c>
      <c r="F63" s="16" t="s">
        <v>112</v>
      </c>
      <c r="G63" s="16" t="s">
        <v>107</v>
      </c>
      <c r="H63" s="15" t="s">
        <v>108</v>
      </c>
      <c r="I63" s="24"/>
      <c r="J63" s="15"/>
      <c r="K63" s="19"/>
    </row>
    <row r="64" spans="1:11" x14ac:dyDescent="0.3">
      <c r="A64" s="16">
        <v>63</v>
      </c>
      <c r="B64" s="21" t="s">
        <v>23</v>
      </c>
      <c r="C64" s="16" t="s">
        <v>24</v>
      </c>
      <c r="D64" s="22" t="s">
        <v>172</v>
      </c>
      <c r="E64" s="23" t="s">
        <v>105</v>
      </c>
      <c r="F64" s="16" t="s">
        <v>112</v>
      </c>
      <c r="G64" s="16" t="s">
        <v>107</v>
      </c>
      <c r="H64" s="15" t="s">
        <v>108</v>
      </c>
      <c r="I64" s="24"/>
      <c r="J64" s="15"/>
      <c r="K64" s="19"/>
    </row>
    <row r="65" spans="1:11" x14ac:dyDescent="0.3">
      <c r="A65" s="16">
        <v>64</v>
      </c>
      <c r="B65" s="21" t="s">
        <v>23</v>
      </c>
      <c r="C65" s="16" t="s">
        <v>24</v>
      </c>
      <c r="D65" s="22" t="s">
        <v>173</v>
      </c>
      <c r="E65" s="23" t="s">
        <v>105</v>
      </c>
      <c r="F65" s="16" t="s">
        <v>112</v>
      </c>
      <c r="G65" s="16" t="s">
        <v>107</v>
      </c>
      <c r="H65" s="15" t="s">
        <v>108</v>
      </c>
      <c r="I65" s="24"/>
      <c r="J65" s="15"/>
      <c r="K65" s="19"/>
    </row>
    <row r="66" spans="1:11" x14ac:dyDescent="0.3">
      <c r="A66" s="16">
        <v>65</v>
      </c>
      <c r="B66" s="21" t="s">
        <v>23</v>
      </c>
      <c r="C66" s="16" t="s">
        <v>24</v>
      </c>
      <c r="D66" s="22" t="s">
        <v>174</v>
      </c>
      <c r="E66" s="23" t="s">
        <v>105</v>
      </c>
      <c r="F66" s="16" t="s">
        <v>112</v>
      </c>
      <c r="G66" s="16" t="s">
        <v>107</v>
      </c>
      <c r="H66" s="15" t="s">
        <v>108</v>
      </c>
      <c r="I66" s="24"/>
      <c r="J66" s="15"/>
      <c r="K66" s="19"/>
    </row>
    <row r="67" spans="1:11" x14ac:dyDescent="0.3">
      <c r="A67" s="16">
        <v>66</v>
      </c>
      <c r="B67" s="21" t="s">
        <v>23</v>
      </c>
      <c r="C67" s="16" t="s">
        <v>24</v>
      </c>
      <c r="D67" s="22" t="s">
        <v>175</v>
      </c>
      <c r="E67" s="23" t="s">
        <v>105</v>
      </c>
      <c r="F67" s="16" t="s">
        <v>132</v>
      </c>
      <c r="G67" s="16" t="s">
        <v>107</v>
      </c>
      <c r="H67" s="15" t="s">
        <v>108</v>
      </c>
      <c r="I67" s="24"/>
      <c r="J67" s="15"/>
      <c r="K67" s="19"/>
    </row>
    <row r="68" spans="1:11" x14ac:dyDescent="0.3">
      <c r="A68" s="25">
        <v>67</v>
      </c>
      <c r="B68" s="26" t="s">
        <v>23</v>
      </c>
      <c r="C68" s="25" t="s">
        <v>24</v>
      </c>
      <c r="D68" s="22" t="s">
        <v>176</v>
      </c>
      <c r="E68" s="23" t="s">
        <v>105</v>
      </c>
      <c r="F68" s="25" t="s">
        <v>106</v>
      </c>
      <c r="G68" s="25" t="s">
        <v>119</v>
      </c>
      <c r="H68" s="15" t="s">
        <v>108</v>
      </c>
      <c r="I68" s="24"/>
      <c r="J68" s="15"/>
      <c r="K68" s="19"/>
    </row>
    <row r="69" spans="1:11" x14ac:dyDescent="0.3">
      <c r="A69" s="25">
        <v>68</v>
      </c>
      <c r="B69" s="26" t="s">
        <v>23</v>
      </c>
      <c r="C69" s="25" t="s">
        <v>24</v>
      </c>
      <c r="D69" s="22" t="s">
        <v>177</v>
      </c>
      <c r="E69" s="23" t="s">
        <v>105</v>
      </c>
      <c r="F69" s="25" t="s">
        <v>106</v>
      </c>
      <c r="G69" s="25" t="s">
        <v>119</v>
      </c>
      <c r="H69" s="15" t="s">
        <v>108</v>
      </c>
      <c r="I69" s="24"/>
      <c r="J69" s="15"/>
      <c r="K69" s="19"/>
    </row>
    <row r="70" spans="1:11" x14ac:dyDescent="0.3">
      <c r="A70" s="25">
        <v>69</v>
      </c>
      <c r="B70" s="26" t="s">
        <v>23</v>
      </c>
      <c r="C70" s="25" t="s">
        <v>24</v>
      </c>
      <c r="D70" s="22" t="s">
        <v>178</v>
      </c>
      <c r="E70" s="23" t="s">
        <v>105</v>
      </c>
      <c r="F70" s="25" t="s">
        <v>106</v>
      </c>
      <c r="G70" s="25" t="s">
        <v>119</v>
      </c>
      <c r="H70" s="15" t="s">
        <v>108</v>
      </c>
      <c r="I70" s="24"/>
      <c r="J70" s="15"/>
      <c r="K70" s="19"/>
    </row>
    <row r="71" spans="1:11" x14ac:dyDescent="0.3">
      <c r="A71" s="25">
        <v>70</v>
      </c>
      <c r="B71" s="26" t="s">
        <v>23</v>
      </c>
      <c r="C71" s="25" t="s">
        <v>24</v>
      </c>
      <c r="D71" s="22" t="s">
        <v>179</v>
      </c>
      <c r="E71" s="23" t="s">
        <v>105</v>
      </c>
      <c r="F71" s="25" t="s">
        <v>112</v>
      </c>
      <c r="G71" s="25" t="s">
        <v>119</v>
      </c>
      <c r="H71" s="15" t="s">
        <v>108</v>
      </c>
      <c r="I71" s="24"/>
      <c r="J71" s="15"/>
      <c r="K71" s="19"/>
    </row>
    <row r="72" spans="1:11" x14ac:dyDescent="0.3">
      <c r="A72" s="25">
        <v>71</v>
      </c>
      <c r="B72" s="26" t="s">
        <v>23</v>
      </c>
      <c r="C72" s="25" t="s">
        <v>24</v>
      </c>
      <c r="D72" s="22" t="s">
        <v>180</v>
      </c>
      <c r="E72" s="23" t="s">
        <v>105</v>
      </c>
      <c r="F72" s="25" t="s">
        <v>112</v>
      </c>
      <c r="G72" s="25" t="s">
        <v>119</v>
      </c>
      <c r="H72" s="15" t="s">
        <v>108</v>
      </c>
      <c r="I72" s="24"/>
      <c r="J72" s="15"/>
      <c r="K72" s="19"/>
    </row>
    <row r="73" spans="1:11" x14ac:dyDescent="0.3">
      <c r="A73" s="25">
        <v>72</v>
      </c>
      <c r="B73" s="26" t="s">
        <v>23</v>
      </c>
      <c r="C73" s="25" t="s">
        <v>24</v>
      </c>
      <c r="D73" s="22" t="s">
        <v>181</v>
      </c>
      <c r="E73" s="23" t="s">
        <v>105</v>
      </c>
      <c r="F73" s="25" t="s">
        <v>132</v>
      </c>
      <c r="G73" s="25" t="s">
        <v>119</v>
      </c>
      <c r="H73" s="15" t="s">
        <v>108</v>
      </c>
      <c r="I73" s="24"/>
      <c r="J73" s="15"/>
      <c r="K73" s="19"/>
    </row>
    <row r="74" spans="1:11" x14ac:dyDescent="0.3">
      <c r="A74" s="25">
        <v>73</v>
      </c>
      <c r="B74" s="26" t="s">
        <v>23</v>
      </c>
      <c r="C74" s="25" t="s">
        <v>24</v>
      </c>
      <c r="D74" s="22" t="s">
        <v>182</v>
      </c>
      <c r="E74" s="23" t="s">
        <v>105</v>
      </c>
      <c r="F74" s="25" t="s">
        <v>132</v>
      </c>
      <c r="G74" s="25" t="s">
        <v>119</v>
      </c>
      <c r="H74" s="15" t="s">
        <v>108</v>
      </c>
      <c r="I74" s="24"/>
      <c r="J74" s="15"/>
      <c r="K74" s="19"/>
    </row>
    <row r="75" spans="1:11" x14ac:dyDescent="0.3">
      <c r="A75" s="16">
        <v>74</v>
      </c>
      <c r="B75" s="21" t="s">
        <v>26</v>
      </c>
      <c r="C75" s="16" t="s">
        <v>24</v>
      </c>
      <c r="D75" s="22" t="s">
        <v>183</v>
      </c>
      <c r="E75" s="23" t="s">
        <v>105</v>
      </c>
      <c r="F75" s="16" t="s">
        <v>106</v>
      </c>
      <c r="G75" s="16" t="s">
        <v>107</v>
      </c>
      <c r="H75" s="15" t="s">
        <v>108</v>
      </c>
      <c r="I75" s="24"/>
      <c r="J75" s="15"/>
      <c r="K75" s="19"/>
    </row>
    <row r="76" spans="1:11" x14ac:dyDescent="0.3">
      <c r="A76" s="16">
        <v>75</v>
      </c>
      <c r="B76" s="21" t="s">
        <v>26</v>
      </c>
      <c r="C76" s="16" t="s">
        <v>24</v>
      </c>
      <c r="D76" s="22" t="s">
        <v>184</v>
      </c>
      <c r="E76" s="23" t="s">
        <v>105</v>
      </c>
      <c r="F76" s="16" t="s">
        <v>106</v>
      </c>
      <c r="G76" s="16" t="s">
        <v>107</v>
      </c>
      <c r="H76" s="15" t="s">
        <v>108</v>
      </c>
      <c r="I76" s="24"/>
      <c r="J76" s="15"/>
      <c r="K76" s="19"/>
    </row>
    <row r="77" spans="1:11" x14ac:dyDescent="0.3">
      <c r="A77" s="16">
        <v>76</v>
      </c>
      <c r="B77" s="21" t="s">
        <v>26</v>
      </c>
      <c r="C77" s="16" t="s">
        <v>24</v>
      </c>
      <c r="D77" s="22" t="s">
        <v>185</v>
      </c>
      <c r="E77" s="23" t="s">
        <v>105</v>
      </c>
      <c r="F77" s="16" t="s">
        <v>106</v>
      </c>
      <c r="G77" s="16" t="s">
        <v>107</v>
      </c>
      <c r="H77" s="15" t="s">
        <v>108</v>
      </c>
      <c r="I77" s="24"/>
      <c r="J77" s="15"/>
      <c r="K77" s="19"/>
    </row>
    <row r="78" spans="1:11" x14ac:dyDescent="0.3">
      <c r="A78" s="16">
        <v>77</v>
      </c>
      <c r="B78" s="21" t="s">
        <v>26</v>
      </c>
      <c r="C78" s="16" t="s">
        <v>24</v>
      </c>
      <c r="D78" s="22" t="s">
        <v>186</v>
      </c>
      <c r="E78" s="23" t="s">
        <v>105</v>
      </c>
      <c r="F78" s="16" t="s">
        <v>112</v>
      </c>
      <c r="G78" s="16" t="s">
        <v>107</v>
      </c>
      <c r="H78" s="15" t="s">
        <v>108</v>
      </c>
      <c r="I78" s="24"/>
      <c r="J78" s="15"/>
      <c r="K78" s="19"/>
    </row>
    <row r="79" spans="1:11" x14ac:dyDescent="0.3">
      <c r="A79" s="16">
        <v>78</v>
      </c>
      <c r="B79" s="21" t="s">
        <v>26</v>
      </c>
      <c r="C79" s="16" t="s">
        <v>24</v>
      </c>
      <c r="D79" s="22" t="s">
        <v>187</v>
      </c>
      <c r="E79" s="23" t="s">
        <v>105</v>
      </c>
      <c r="F79" s="16" t="s">
        <v>112</v>
      </c>
      <c r="G79" s="16" t="s">
        <v>107</v>
      </c>
      <c r="H79" s="15" t="s">
        <v>108</v>
      </c>
      <c r="I79" s="24"/>
      <c r="J79" s="15"/>
      <c r="K79" s="19"/>
    </row>
    <row r="80" spans="1:11" x14ac:dyDescent="0.3">
      <c r="A80" s="16">
        <v>79</v>
      </c>
      <c r="B80" s="21" t="s">
        <v>26</v>
      </c>
      <c r="C80" s="16" t="s">
        <v>24</v>
      </c>
      <c r="D80" s="22" t="s">
        <v>188</v>
      </c>
      <c r="E80" s="23" t="s">
        <v>105</v>
      </c>
      <c r="F80" s="16" t="s">
        <v>112</v>
      </c>
      <c r="G80" s="16" t="s">
        <v>107</v>
      </c>
      <c r="H80" s="15" t="s">
        <v>108</v>
      </c>
      <c r="I80" s="24"/>
      <c r="J80" s="15"/>
      <c r="K80" s="19"/>
    </row>
    <row r="81" spans="1:11" x14ac:dyDescent="0.3">
      <c r="A81" s="16">
        <v>80</v>
      </c>
      <c r="B81" s="21" t="s">
        <v>26</v>
      </c>
      <c r="C81" s="16" t="s">
        <v>24</v>
      </c>
      <c r="D81" s="22" t="s">
        <v>189</v>
      </c>
      <c r="E81" s="23" t="s">
        <v>105</v>
      </c>
      <c r="F81" s="16" t="s">
        <v>112</v>
      </c>
      <c r="G81" s="16" t="s">
        <v>107</v>
      </c>
      <c r="H81" s="15" t="s">
        <v>108</v>
      </c>
      <c r="I81" s="24"/>
      <c r="J81" s="15"/>
      <c r="K81" s="19"/>
    </row>
    <row r="82" spans="1:11" x14ac:dyDescent="0.3">
      <c r="A82" s="16">
        <v>81</v>
      </c>
      <c r="B82" s="21" t="s">
        <v>26</v>
      </c>
      <c r="C82" s="16" t="s">
        <v>24</v>
      </c>
      <c r="D82" s="22" t="s">
        <v>190</v>
      </c>
      <c r="E82" s="23" t="s">
        <v>105</v>
      </c>
      <c r="F82" s="16" t="s">
        <v>112</v>
      </c>
      <c r="G82" s="16" t="s">
        <v>107</v>
      </c>
      <c r="H82" s="15" t="s">
        <v>108</v>
      </c>
      <c r="I82" s="24"/>
      <c r="J82" s="15"/>
      <c r="K82" s="19"/>
    </row>
    <row r="83" spans="1:11" x14ac:dyDescent="0.3">
      <c r="A83" s="16">
        <v>82</v>
      </c>
      <c r="B83" s="21" t="s">
        <v>26</v>
      </c>
      <c r="C83" s="16" t="s">
        <v>24</v>
      </c>
      <c r="D83" s="22" t="s">
        <v>191</v>
      </c>
      <c r="E83" s="23" t="s">
        <v>105</v>
      </c>
      <c r="F83" s="16" t="s">
        <v>112</v>
      </c>
      <c r="G83" s="16" t="s">
        <v>107</v>
      </c>
      <c r="H83" s="15" t="s">
        <v>108</v>
      </c>
      <c r="I83" s="24"/>
      <c r="J83" s="15"/>
      <c r="K83" s="19"/>
    </row>
    <row r="84" spans="1:11" x14ac:dyDescent="0.3">
      <c r="A84" s="16">
        <v>83</v>
      </c>
      <c r="B84" s="21" t="s">
        <v>26</v>
      </c>
      <c r="C84" s="16" t="s">
        <v>24</v>
      </c>
      <c r="D84" s="22" t="s">
        <v>192</v>
      </c>
      <c r="E84" s="23" t="s">
        <v>105</v>
      </c>
      <c r="F84" s="16" t="s">
        <v>132</v>
      </c>
      <c r="G84" s="16" t="s">
        <v>107</v>
      </c>
      <c r="H84" s="15" t="s">
        <v>108</v>
      </c>
      <c r="I84" s="24"/>
      <c r="J84" s="15"/>
      <c r="K84" s="19"/>
    </row>
    <row r="85" spans="1:11" x14ac:dyDescent="0.3">
      <c r="A85" s="16">
        <v>84</v>
      </c>
      <c r="B85" s="21" t="s">
        <v>26</v>
      </c>
      <c r="C85" s="16" t="s">
        <v>24</v>
      </c>
      <c r="D85" s="22" t="s">
        <v>193</v>
      </c>
      <c r="E85" s="23" t="s">
        <v>105</v>
      </c>
      <c r="F85" s="16" t="s">
        <v>132</v>
      </c>
      <c r="G85" s="16" t="s">
        <v>107</v>
      </c>
      <c r="H85" s="15" t="s">
        <v>108</v>
      </c>
      <c r="I85" s="24"/>
      <c r="J85" s="15"/>
      <c r="K85" s="19"/>
    </row>
    <row r="86" spans="1:11" x14ac:dyDescent="0.3">
      <c r="A86" s="25">
        <v>85</v>
      </c>
      <c r="B86" s="26" t="s">
        <v>26</v>
      </c>
      <c r="C86" s="25" t="s">
        <v>24</v>
      </c>
      <c r="D86" s="22" t="s">
        <v>194</v>
      </c>
      <c r="E86" s="23" t="s">
        <v>105</v>
      </c>
      <c r="F86" s="25" t="s">
        <v>112</v>
      </c>
      <c r="G86" s="25" t="s">
        <v>119</v>
      </c>
      <c r="H86" s="15" t="s">
        <v>108</v>
      </c>
      <c r="I86" s="24"/>
      <c r="J86" s="15"/>
      <c r="K86" s="19"/>
    </row>
    <row r="87" spans="1:11" x14ac:dyDescent="0.3">
      <c r="A87" s="25">
        <v>86</v>
      </c>
      <c r="B87" s="26" t="s">
        <v>26</v>
      </c>
      <c r="C87" s="25" t="s">
        <v>24</v>
      </c>
      <c r="D87" s="22" t="s">
        <v>195</v>
      </c>
      <c r="E87" s="23" t="s">
        <v>105</v>
      </c>
      <c r="F87" s="25" t="s">
        <v>112</v>
      </c>
      <c r="G87" s="25" t="s">
        <v>119</v>
      </c>
      <c r="H87" s="15" t="s">
        <v>108</v>
      </c>
      <c r="I87" s="24"/>
      <c r="J87" s="15"/>
      <c r="K87" s="19"/>
    </row>
    <row r="88" spans="1:11" x14ac:dyDescent="0.3">
      <c r="A88" s="25">
        <v>87</v>
      </c>
      <c r="B88" s="26" t="s">
        <v>26</v>
      </c>
      <c r="C88" s="25" t="s">
        <v>24</v>
      </c>
      <c r="D88" s="22" t="s">
        <v>196</v>
      </c>
      <c r="E88" s="23" t="s">
        <v>105</v>
      </c>
      <c r="F88" s="25" t="s">
        <v>132</v>
      </c>
      <c r="G88" s="25" t="s">
        <v>119</v>
      </c>
      <c r="H88" s="15" t="s">
        <v>108</v>
      </c>
      <c r="I88" s="24"/>
      <c r="J88" s="15"/>
      <c r="K88" s="19"/>
    </row>
    <row r="89" spans="1:11" x14ac:dyDescent="0.3">
      <c r="A89" s="16">
        <v>88</v>
      </c>
      <c r="B89" s="21" t="s">
        <v>28</v>
      </c>
      <c r="C89" s="16" t="s">
        <v>29</v>
      </c>
      <c r="D89" s="22" t="s">
        <v>197</v>
      </c>
      <c r="E89" s="23" t="s">
        <v>105</v>
      </c>
      <c r="F89" s="16" t="s">
        <v>106</v>
      </c>
      <c r="G89" s="16" t="s">
        <v>107</v>
      </c>
      <c r="H89" s="15" t="s">
        <v>108</v>
      </c>
      <c r="I89" s="24"/>
      <c r="J89" s="15"/>
      <c r="K89" s="19"/>
    </row>
    <row r="90" spans="1:11" x14ac:dyDescent="0.3">
      <c r="A90" s="16">
        <v>89</v>
      </c>
      <c r="B90" s="21" t="s">
        <v>28</v>
      </c>
      <c r="C90" s="16" t="s">
        <v>29</v>
      </c>
      <c r="D90" s="22" t="s">
        <v>198</v>
      </c>
      <c r="E90" s="23" t="s">
        <v>105</v>
      </c>
      <c r="F90" s="16" t="s">
        <v>106</v>
      </c>
      <c r="G90" s="16" t="s">
        <v>107</v>
      </c>
      <c r="H90" s="15" t="s">
        <v>108</v>
      </c>
      <c r="I90" s="24"/>
      <c r="J90" s="15"/>
      <c r="K90" s="19"/>
    </row>
    <row r="91" spans="1:11" x14ac:dyDescent="0.3">
      <c r="A91" s="16">
        <v>90</v>
      </c>
      <c r="B91" s="21" t="s">
        <v>28</v>
      </c>
      <c r="C91" s="16" t="s">
        <v>29</v>
      </c>
      <c r="D91" s="22" t="s">
        <v>199</v>
      </c>
      <c r="E91" s="23" t="s">
        <v>105</v>
      </c>
      <c r="F91" s="16" t="s">
        <v>106</v>
      </c>
      <c r="G91" s="16" t="s">
        <v>107</v>
      </c>
      <c r="H91" s="15" t="s">
        <v>108</v>
      </c>
      <c r="I91" s="24"/>
      <c r="J91" s="15"/>
      <c r="K91" s="19"/>
    </row>
    <row r="92" spans="1:11" x14ac:dyDescent="0.3">
      <c r="A92" s="16">
        <v>91</v>
      </c>
      <c r="B92" s="21" t="s">
        <v>28</v>
      </c>
      <c r="C92" s="16" t="s">
        <v>29</v>
      </c>
      <c r="D92" s="22" t="s">
        <v>200</v>
      </c>
      <c r="E92" s="23" t="s">
        <v>105</v>
      </c>
      <c r="F92" s="16" t="s">
        <v>106</v>
      </c>
      <c r="G92" s="16" t="s">
        <v>107</v>
      </c>
      <c r="H92" s="15" t="s">
        <v>108</v>
      </c>
      <c r="I92" s="24"/>
      <c r="J92" s="15"/>
      <c r="K92" s="19"/>
    </row>
    <row r="93" spans="1:11" x14ac:dyDescent="0.3">
      <c r="A93" s="16">
        <v>92</v>
      </c>
      <c r="B93" s="21" t="s">
        <v>28</v>
      </c>
      <c r="C93" s="16" t="s">
        <v>29</v>
      </c>
      <c r="D93" s="22" t="s">
        <v>201</v>
      </c>
      <c r="E93" s="23" t="s">
        <v>105</v>
      </c>
      <c r="F93" s="16" t="s">
        <v>106</v>
      </c>
      <c r="G93" s="16" t="s">
        <v>107</v>
      </c>
      <c r="H93" s="15" t="s">
        <v>108</v>
      </c>
      <c r="I93" s="24"/>
      <c r="J93" s="15"/>
      <c r="K93" s="19"/>
    </row>
    <row r="94" spans="1:11" x14ac:dyDescent="0.3">
      <c r="A94" s="16">
        <v>93</v>
      </c>
      <c r="B94" s="21" t="s">
        <v>28</v>
      </c>
      <c r="C94" s="16" t="s">
        <v>29</v>
      </c>
      <c r="D94" s="22" t="s">
        <v>202</v>
      </c>
      <c r="E94" s="23" t="s">
        <v>105</v>
      </c>
      <c r="F94" s="16" t="s">
        <v>106</v>
      </c>
      <c r="G94" s="16" t="s">
        <v>107</v>
      </c>
      <c r="H94" s="15" t="s">
        <v>108</v>
      </c>
      <c r="I94" s="24"/>
      <c r="J94" s="15"/>
      <c r="K94" s="19"/>
    </row>
    <row r="95" spans="1:11" x14ac:dyDescent="0.3">
      <c r="A95" s="16">
        <v>94</v>
      </c>
      <c r="B95" s="21" t="s">
        <v>28</v>
      </c>
      <c r="C95" s="16" t="s">
        <v>29</v>
      </c>
      <c r="D95" s="22" t="s">
        <v>203</v>
      </c>
      <c r="E95" s="23" t="s">
        <v>105</v>
      </c>
      <c r="F95" s="16" t="s">
        <v>112</v>
      </c>
      <c r="G95" s="16" t="s">
        <v>107</v>
      </c>
      <c r="H95" s="15" t="s">
        <v>108</v>
      </c>
      <c r="I95" s="24"/>
      <c r="J95" s="15"/>
      <c r="K95" s="19"/>
    </row>
    <row r="96" spans="1:11" x14ac:dyDescent="0.3">
      <c r="A96" s="16">
        <v>95</v>
      </c>
      <c r="B96" s="21" t="s">
        <v>28</v>
      </c>
      <c r="C96" s="16" t="s">
        <v>29</v>
      </c>
      <c r="D96" s="22" t="s">
        <v>204</v>
      </c>
      <c r="E96" s="23" t="s">
        <v>105</v>
      </c>
      <c r="F96" s="16" t="s">
        <v>112</v>
      </c>
      <c r="G96" s="16" t="s">
        <v>107</v>
      </c>
      <c r="H96" s="15" t="s">
        <v>108</v>
      </c>
      <c r="I96" s="24"/>
      <c r="J96" s="15"/>
      <c r="K96" s="19"/>
    </row>
    <row r="97" spans="1:11" x14ac:dyDescent="0.3">
      <c r="A97" s="16">
        <v>96</v>
      </c>
      <c r="B97" s="21" t="s">
        <v>28</v>
      </c>
      <c r="C97" s="16" t="s">
        <v>29</v>
      </c>
      <c r="D97" s="22" t="s">
        <v>205</v>
      </c>
      <c r="E97" s="23" t="s">
        <v>105</v>
      </c>
      <c r="F97" s="16" t="s">
        <v>112</v>
      </c>
      <c r="G97" s="16" t="s">
        <v>107</v>
      </c>
      <c r="H97" s="15" t="s">
        <v>108</v>
      </c>
      <c r="I97" s="24"/>
      <c r="J97" s="15"/>
      <c r="K97" s="19"/>
    </row>
    <row r="98" spans="1:11" x14ac:dyDescent="0.3">
      <c r="A98" s="16">
        <v>97</v>
      </c>
      <c r="B98" s="21" t="s">
        <v>28</v>
      </c>
      <c r="C98" s="16" t="s">
        <v>29</v>
      </c>
      <c r="D98" s="22" t="s">
        <v>206</v>
      </c>
      <c r="E98" s="23" t="s">
        <v>105</v>
      </c>
      <c r="F98" s="16" t="s">
        <v>112</v>
      </c>
      <c r="G98" s="16" t="s">
        <v>107</v>
      </c>
      <c r="H98" s="15" t="s">
        <v>108</v>
      </c>
      <c r="I98" s="24"/>
      <c r="J98" s="15"/>
      <c r="K98" s="19"/>
    </row>
    <row r="99" spans="1:11" x14ac:dyDescent="0.3">
      <c r="A99" s="16">
        <v>98</v>
      </c>
      <c r="B99" s="21" t="s">
        <v>28</v>
      </c>
      <c r="C99" s="16" t="s">
        <v>29</v>
      </c>
      <c r="D99" s="22" t="s">
        <v>207</v>
      </c>
      <c r="E99" s="23" t="s">
        <v>105</v>
      </c>
      <c r="F99" s="16" t="s">
        <v>112</v>
      </c>
      <c r="G99" s="16" t="s">
        <v>107</v>
      </c>
      <c r="H99" s="15" t="s">
        <v>108</v>
      </c>
      <c r="I99" s="24"/>
      <c r="J99" s="15"/>
      <c r="K99" s="19"/>
    </row>
    <row r="100" spans="1:11" x14ac:dyDescent="0.3">
      <c r="A100" s="16">
        <v>99</v>
      </c>
      <c r="B100" s="21" t="s">
        <v>28</v>
      </c>
      <c r="C100" s="16" t="s">
        <v>29</v>
      </c>
      <c r="D100" s="22" t="s">
        <v>208</v>
      </c>
      <c r="E100" s="23" t="s">
        <v>105</v>
      </c>
      <c r="F100" s="16" t="s">
        <v>112</v>
      </c>
      <c r="G100" s="16" t="s">
        <v>107</v>
      </c>
      <c r="H100" s="15" t="s">
        <v>108</v>
      </c>
      <c r="I100" s="24"/>
      <c r="J100" s="15"/>
      <c r="K100" s="19"/>
    </row>
    <row r="101" spans="1:11" ht="26.4" x14ac:dyDescent="0.3">
      <c r="A101" s="16">
        <v>100</v>
      </c>
      <c r="B101" s="21" t="s">
        <v>28</v>
      </c>
      <c r="C101" s="16" t="s">
        <v>29</v>
      </c>
      <c r="D101" s="22" t="s">
        <v>209</v>
      </c>
      <c r="E101" s="23" t="s">
        <v>105</v>
      </c>
      <c r="F101" s="16" t="s">
        <v>112</v>
      </c>
      <c r="G101" s="16" t="s">
        <v>107</v>
      </c>
      <c r="H101" s="15" t="s">
        <v>108</v>
      </c>
      <c r="I101" s="24"/>
      <c r="J101" s="15"/>
      <c r="K101" s="19"/>
    </row>
    <row r="102" spans="1:11" x14ac:dyDescent="0.3">
      <c r="A102" s="16">
        <v>101</v>
      </c>
      <c r="B102" s="21" t="s">
        <v>28</v>
      </c>
      <c r="C102" s="16" t="s">
        <v>29</v>
      </c>
      <c r="D102" s="22" t="s">
        <v>210</v>
      </c>
      <c r="E102" s="23" t="s">
        <v>105</v>
      </c>
      <c r="F102" s="16" t="s">
        <v>132</v>
      </c>
      <c r="G102" s="16" t="s">
        <v>107</v>
      </c>
      <c r="H102" s="15" t="s">
        <v>108</v>
      </c>
      <c r="I102" s="24"/>
      <c r="J102" s="15"/>
      <c r="K102" s="19"/>
    </row>
    <row r="103" spans="1:11" x14ac:dyDescent="0.3">
      <c r="A103" s="16">
        <v>102</v>
      </c>
      <c r="B103" s="21" t="s">
        <v>28</v>
      </c>
      <c r="C103" s="16" t="s">
        <v>29</v>
      </c>
      <c r="D103" s="22" t="s">
        <v>211</v>
      </c>
      <c r="E103" s="23" t="s">
        <v>105</v>
      </c>
      <c r="F103" s="16" t="s">
        <v>132</v>
      </c>
      <c r="G103" s="16" t="s">
        <v>107</v>
      </c>
      <c r="H103" s="15" t="s">
        <v>108</v>
      </c>
      <c r="I103" s="24"/>
      <c r="J103" s="15"/>
      <c r="K103" s="19"/>
    </row>
    <row r="104" spans="1:11" x14ac:dyDescent="0.3">
      <c r="A104" s="25">
        <v>103</v>
      </c>
      <c r="B104" s="26" t="s">
        <v>28</v>
      </c>
      <c r="C104" s="25" t="s">
        <v>29</v>
      </c>
      <c r="D104" s="22" t="s">
        <v>212</v>
      </c>
      <c r="E104" s="23" t="s">
        <v>105</v>
      </c>
      <c r="F104" s="25" t="s">
        <v>106</v>
      </c>
      <c r="G104" s="25" t="s">
        <v>119</v>
      </c>
      <c r="H104" s="15" t="s">
        <v>108</v>
      </c>
      <c r="I104" s="24"/>
      <c r="J104" s="15"/>
      <c r="K104" s="19"/>
    </row>
    <row r="105" spans="1:11" x14ac:dyDescent="0.3">
      <c r="A105" s="25">
        <v>104</v>
      </c>
      <c r="B105" s="26" t="s">
        <v>28</v>
      </c>
      <c r="C105" s="25" t="s">
        <v>29</v>
      </c>
      <c r="D105" s="22" t="s">
        <v>213</v>
      </c>
      <c r="E105" s="23" t="s">
        <v>105</v>
      </c>
      <c r="F105" s="25" t="s">
        <v>106</v>
      </c>
      <c r="G105" s="25" t="s">
        <v>119</v>
      </c>
      <c r="H105" s="15" t="s">
        <v>108</v>
      </c>
      <c r="I105" s="24"/>
      <c r="J105" s="15"/>
      <c r="K105" s="19"/>
    </row>
    <row r="106" spans="1:11" x14ac:dyDescent="0.3">
      <c r="A106" s="25">
        <v>105</v>
      </c>
      <c r="B106" s="26" t="s">
        <v>28</v>
      </c>
      <c r="C106" s="25" t="s">
        <v>29</v>
      </c>
      <c r="D106" s="22" t="s">
        <v>214</v>
      </c>
      <c r="E106" s="23" t="s">
        <v>105</v>
      </c>
      <c r="F106" s="25" t="s">
        <v>106</v>
      </c>
      <c r="G106" s="25" t="s">
        <v>119</v>
      </c>
      <c r="H106" s="15" t="s">
        <v>108</v>
      </c>
      <c r="I106" s="24"/>
      <c r="J106" s="15"/>
      <c r="K106" s="19"/>
    </row>
    <row r="107" spans="1:11" x14ac:dyDescent="0.3">
      <c r="A107" s="25">
        <v>106</v>
      </c>
      <c r="B107" s="26" t="s">
        <v>28</v>
      </c>
      <c r="C107" s="25" t="s">
        <v>29</v>
      </c>
      <c r="D107" s="22" t="s">
        <v>215</v>
      </c>
      <c r="E107" s="23" t="s">
        <v>105</v>
      </c>
      <c r="F107" s="25" t="s">
        <v>112</v>
      </c>
      <c r="G107" s="25" t="s">
        <v>119</v>
      </c>
      <c r="H107" s="15" t="s">
        <v>108</v>
      </c>
      <c r="I107" s="24"/>
      <c r="J107" s="15"/>
      <c r="K107" s="19"/>
    </row>
    <row r="108" spans="1:11" x14ac:dyDescent="0.3">
      <c r="A108" s="25">
        <v>107</v>
      </c>
      <c r="B108" s="26" t="s">
        <v>28</v>
      </c>
      <c r="C108" s="25" t="s">
        <v>29</v>
      </c>
      <c r="D108" s="22" t="s">
        <v>216</v>
      </c>
      <c r="E108" s="23" t="s">
        <v>105</v>
      </c>
      <c r="F108" s="25" t="s">
        <v>112</v>
      </c>
      <c r="G108" s="25" t="s">
        <v>119</v>
      </c>
      <c r="H108" s="15" t="s">
        <v>108</v>
      </c>
      <c r="I108" s="24"/>
      <c r="J108" s="15"/>
      <c r="K108" s="19"/>
    </row>
    <row r="109" spans="1:11" x14ac:dyDescent="0.3">
      <c r="A109" s="25">
        <v>108</v>
      </c>
      <c r="B109" s="26" t="s">
        <v>28</v>
      </c>
      <c r="C109" s="25" t="s">
        <v>29</v>
      </c>
      <c r="D109" s="22" t="s">
        <v>217</v>
      </c>
      <c r="E109" s="23" t="s">
        <v>105</v>
      </c>
      <c r="F109" s="25" t="s">
        <v>112</v>
      </c>
      <c r="G109" s="25" t="s">
        <v>119</v>
      </c>
      <c r="H109" s="15" t="s">
        <v>108</v>
      </c>
      <c r="I109" s="24"/>
      <c r="J109" s="15"/>
      <c r="K109" s="19"/>
    </row>
    <row r="110" spans="1:11" x14ac:dyDescent="0.3">
      <c r="A110" s="25">
        <v>109</v>
      </c>
      <c r="B110" s="26" t="s">
        <v>28</v>
      </c>
      <c r="C110" s="25" t="s">
        <v>29</v>
      </c>
      <c r="D110" s="22" t="s">
        <v>218</v>
      </c>
      <c r="E110" s="23" t="s">
        <v>105</v>
      </c>
      <c r="F110" s="25" t="s">
        <v>112</v>
      </c>
      <c r="G110" s="25" t="s">
        <v>119</v>
      </c>
      <c r="H110" s="15" t="s">
        <v>108</v>
      </c>
      <c r="I110" s="24"/>
      <c r="J110" s="15"/>
      <c r="K110" s="19"/>
    </row>
    <row r="111" spans="1:11" x14ac:dyDescent="0.3">
      <c r="A111" s="25">
        <v>110</v>
      </c>
      <c r="B111" s="26" t="s">
        <v>28</v>
      </c>
      <c r="C111" s="25" t="s">
        <v>29</v>
      </c>
      <c r="D111" s="22" t="s">
        <v>219</v>
      </c>
      <c r="E111" s="23" t="s">
        <v>105</v>
      </c>
      <c r="F111" s="25" t="s">
        <v>112</v>
      </c>
      <c r="G111" s="25" t="s">
        <v>119</v>
      </c>
      <c r="H111" s="15" t="s">
        <v>108</v>
      </c>
      <c r="I111" s="24"/>
      <c r="J111" s="15"/>
      <c r="K111" s="19"/>
    </row>
    <row r="112" spans="1:11" x14ac:dyDescent="0.3">
      <c r="A112" s="16">
        <v>111</v>
      </c>
      <c r="B112" s="21" t="s">
        <v>31</v>
      </c>
      <c r="C112" s="16" t="s">
        <v>32</v>
      </c>
      <c r="D112" s="22" t="s">
        <v>220</v>
      </c>
      <c r="E112" s="23" t="s">
        <v>105</v>
      </c>
      <c r="F112" s="16" t="s">
        <v>106</v>
      </c>
      <c r="G112" s="16" t="s">
        <v>107</v>
      </c>
      <c r="H112" s="15" t="s">
        <v>108</v>
      </c>
      <c r="I112" s="24"/>
      <c r="J112" s="15"/>
      <c r="K112" s="19"/>
    </row>
    <row r="113" spans="1:11" x14ac:dyDescent="0.3">
      <c r="A113" s="16">
        <v>112</v>
      </c>
      <c r="B113" s="21" t="s">
        <v>31</v>
      </c>
      <c r="C113" s="16" t="s">
        <v>32</v>
      </c>
      <c r="D113" s="22" t="s">
        <v>221</v>
      </c>
      <c r="E113" s="23" t="s">
        <v>105</v>
      </c>
      <c r="F113" s="16" t="s">
        <v>106</v>
      </c>
      <c r="G113" s="16" t="s">
        <v>107</v>
      </c>
      <c r="H113" s="15" t="s">
        <v>108</v>
      </c>
      <c r="I113" s="24"/>
      <c r="J113" s="15"/>
      <c r="K113" s="19"/>
    </row>
    <row r="114" spans="1:11" x14ac:dyDescent="0.3">
      <c r="A114" s="16">
        <v>113</v>
      </c>
      <c r="B114" s="21" t="s">
        <v>31</v>
      </c>
      <c r="C114" s="16" t="s">
        <v>32</v>
      </c>
      <c r="D114" s="22" t="s">
        <v>222</v>
      </c>
      <c r="E114" s="23" t="s">
        <v>105</v>
      </c>
      <c r="F114" s="16" t="s">
        <v>112</v>
      </c>
      <c r="G114" s="16" t="s">
        <v>107</v>
      </c>
      <c r="H114" s="15" t="s">
        <v>108</v>
      </c>
      <c r="I114" s="24"/>
      <c r="J114" s="15"/>
      <c r="K114" s="19"/>
    </row>
    <row r="115" spans="1:11" x14ac:dyDescent="0.3">
      <c r="A115" s="16">
        <v>114</v>
      </c>
      <c r="B115" s="21" t="s">
        <v>31</v>
      </c>
      <c r="C115" s="16" t="s">
        <v>32</v>
      </c>
      <c r="D115" s="22" t="s">
        <v>223</v>
      </c>
      <c r="E115" s="23" t="s">
        <v>105</v>
      </c>
      <c r="F115" s="16" t="s">
        <v>112</v>
      </c>
      <c r="G115" s="16" t="s">
        <v>107</v>
      </c>
      <c r="H115" s="15" t="s">
        <v>108</v>
      </c>
      <c r="I115" s="24"/>
      <c r="J115" s="15"/>
      <c r="K115" s="19"/>
    </row>
    <row r="116" spans="1:11" x14ac:dyDescent="0.3">
      <c r="A116" s="16">
        <v>115</v>
      </c>
      <c r="B116" s="21" t="s">
        <v>31</v>
      </c>
      <c r="C116" s="16" t="s">
        <v>32</v>
      </c>
      <c r="D116" s="22" t="s">
        <v>224</v>
      </c>
      <c r="E116" s="23" t="s">
        <v>105</v>
      </c>
      <c r="F116" s="16" t="s">
        <v>112</v>
      </c>
      <c r="G116" s="16" t="s">
        <v>107</v>
      </c>
      <c r="H116" s="15" t="s">
        <v>108</v>
      </c>
      <c r="I116" s="24"/>
      <c r="J116" s="15"/>
      <c r="K116" s="19"/>
    </row>
    <row r="117" spans="1:11" x14ac:dyDescent="0.3">
      <c r="A117" s="16">
        <v>116</v>
      </c>
      <c r="B117" s="21" t="s">
        <v>31</v>
      </c>
      <c r="C117" s="16" t="s">
        <v>32</v>
      </c>
      <c r="D117" s="22" t="s">
        <v>225</v>
      </c>
      <c r="E117" s="23" t="s">
        <v>105</v>
      </c>
      <c r="F117" s="16" t="s">
        <v>112</v>
      </c>
      <c r="G117" s="16" t="s">
        <v>107</v>
      </c>
      <c r="H117" s="15" t="s">
        <v>108</v>
      </c>
      <c r="I117" s="24"/>
      <c r="J117" s="15"/>
      <c r="K117" s="19"/>
    </row>
    <row r="118" spans="1:11" x14ac:dyDescent="0.3">
      <c r="A118" s="16">
        <v>117</v>
      </c>
      <c r="B118" s="21" t="s">
        <v>31</v>
      </c>
      <c r="C118" s="16" t="s">
        <v>32</v>
      </c>
      <c r="D118" s="22" t="s">
        <v>226</v>
      </c>
      <c r="E118" s="23" t="s">
        <v>105</v>
      </c>
      <c r="F118" s="16" t="s">
        <v>132</v>
      </c>
      <c r="G118" s="16" t="s">
        <v>107</v>
      </c>
      <c r="H118" s="15" t="s">
        <v>108</v>
      </c>
      <c r="I118" s="24"/>
      <c r="J118" s="15"/>
      <c r="K118" s="19"/>
    </row>
    <row r="119" spans="1:11" x14ac:dyDescent="0.3">
      <c r="A119" s="25">
        <v>118</v>
      </c>
      <c r="B119" s="26" t="s">
        <v>31</v>
      </c>
      <c r="C119" s="25" t="s">
        <v>32</v>
      </c>
      <c r="D119" s="22" t="s">
        <v>227</v>
      </c>
      <c r="E119" s="23" t="s">
        <v>105</v>
      </c>
      <c r="F119" s="25" t="s">
        <v>112</v>
      </c>
      <c r="G119" s="25" t="s">
        <v>119</v>
      </c>
      <c r="H119" s="15" t="s">
        <v>108</v>
      </c>
      <c r="I119" s="24"/>
      <c r="J119" s="15"/>
      <c r="K119" s="19"/>
    </row>
    <row r="120" spans="1:11" x14ac:dyDescent="0.3">
      <c r="A120" s="25">
        <v>119</v>
      </c>
      <c r="B120" s="26" t="s">
        <v>31</v>
      </c>
      <c r="C120" s="25" t="s">
        <v>32</v>
      </c>
      <c r="D120" s="22" t="s">
        <v>228</v>
      </c>
      <c r="E120" s="23" t="s">
        <v>105</v>
      </c>
      <c r="F120" s="25" t="s">
        <v>112</v>
      </c>
      <c r="G120" s="25" t="s">
        <v>119</v>
      </c>
      <c r="H120" s="15" t="s">
        <v>108</v>
      </c>
      <c r="I120" s="24"/>
      <c r="J120" s="15"/>
      <c r="K120" s="19"/>
    </row>
    <row r="121" spans="1:11" x14ac:dyDescent="0.3">
      <c r="A121" s="25">
        <v>120</v>
      </c>
      <c r="B121" s="26" t="s">
        <v>31</v>
      </c>
      <c r="C121" s="25" t="s">
        <v>32</v>
      </c>
      <c r="D121" s="22" t="s">
        <v>229</v>
      </c>
      <c r="E121" s="23" t="s">
        <v>105</v>
      </c>
      <c r="F121" s="25" t="s">
        <v>112</v>
      </c>
      <c r="G121" s="25" t="s">
        <v>119</v>
      </c>
      <c r="H121" s="15" t="s">
        <v>108</v>
      </c>
      <c r="I121" s="24"/>
      <c r="J121" s="15"/>
      <c r="K121" s="19"/>
    </row>
    <row r="122" spans="1:11" x14ac:dyDescent="0.3">
      <c r="A122" s="25">
        <v>121</v>
      </c>
      <c r="B122" s="26" t="s">
        <v>31</v>
      </c>
      <c r="C122" s="25" t="s">
        <v>32</v>
      </c>
      <c r="D122" s="22" t="s">
        <v>230</v>
      </c>
      <c r="E122" s="23" t="s">
        <v>105</v>
      </c>
      <c r="F122" s="25" t="s">
        <v>112</v>
      </c>
      <c r="G122" s="25" t="s">
        <v>119</v>
      </c>
      <c r="H122" s="15" t="s">
        <v>108</v>
      </c>
      <c r="I122" s="24"/>
      <c r="J122" s="15"/>
      <c r="K122" s="19"/>
    </row>
    <row r="123" spans="1:11" x14ac:dyDescent="0.3">
      <c r="A123" s="25">
        <v>122</v>
      </c>
      <c r="B123" s="26" t="s">
        <v>31</v>
      </c>
      <c r="C123" s="25" t="s">
        <v>32</v>
      </c>
      <c r="D123" s="22" t="s">
        <v>231</v>
      </c>
      <c r="E123" s="23" t="s">
        <v>105</v>
      </c>
      <c r="F123" s="25" t="s">
        <v>132</v>
      </c>
      <c r="G123" s="25" t="s">
        <v>119</v>
      </c>
      <c r="H123" s="15" t="s">
        <v>108</v>
      </c>
      <c r="I123" s="24"/>
      <c r="J123" s="15"/>
      <c r="K123" s="19"/>
    </row>
    <row r="124" spans="1:11" x14ac:dyDescent="0.3">
      <c r="A124" s="16">
        <v>123</v>
      </c>
      <c r="B124" s="21" t="s">
        <v>34</v>
      </c>
      <c r="C124" s="16" t="s">
        <v>32</v>
      </c>
      <c r="D124" s="22" t="s">
        <v>232</v>
      </c>
      <c r="E124" s="23" t="s">
        <v>105</v>
      </c>
      <c r="F124" s="16" t="s">
        <v>112</v>
      </c>
      <c r="G124" s="16" t="s">
        <v>107</v>
      </c>
      <c r="H124" s="15" t="s">
        <v>108</v>
      </c>
      <c r="I124" s="24"/>
      <c r="J124" s="15"/>
      <c r="K124" s="19"/>
    </row>
    <row r="125" spans="1:11" x14ac:dyDescent="0.3">
      <c r="A125" s="16">
        <v>124</v>
      </c>
      <c r="B125" s="21" t="s">
        <v>34</v>
      </c>
      <c r="C125" s="16" t="s">
        <v>32</v>
      </c>
      <c r="D125" s="22" t="s">
        <v>233</v>
      </c>
      <c r="E125" s="23" t="s">
        <v>105</v>
      </c>
      <c r="F125" s="16" t="s">
        <v>112</v>
      </c>
      <c r="G125" s="16" t="s">
        <v>107</v>
      </c>
      <c r="H125" s="15" t="s">
        <v>108</v>
      </c>
      <c r="I125" s="24"/>
      <c r="J125" s="15"/>
      <c r="K125" s="19"/>
    </row>
    <row r="126" spans="1:11" x14ac:dyDescent="0.3">
      <c r="A126" s="16">
        <v>125</v>
      </c>
      <c r="B126" s="21" t="s">
        <v>34</v>
      </c>
      <c r="C126" s="16" t="s">
        <v>32</v>
      </c>
      <c r="D126" s="22" t="s">
        <v>234</v>
      </c>
      <c r="E126" s="23" t="s">
        <v>105</v>
      </c>
      <c r="F126" s="16" t="s">
        <v>132</v>
      </c>
      <c r="G126" s="16" t="s">
        <v>107</v>
      </c>
      <c r="H126" s="15" t="s">
        <v>108</v>
      </c>
      <c r="I126" s="24"/>
      <c r="J126" s="15"/>
      <c r="K126" s="19"/>
    </row>
    <row r="127" spans="1:11" x14ac:dyDescent="0.3">
      <c r="A127" s="25">
        <v>126</v>
      </c>
      <c r="B127" s="26" t="s">
        <v>34</v>
      </c>
      <c r="C127" s="25" t="s">
        <v>32</v>
      </c>
      <c r="D127" s="22" t="s">
        <v>235</v>
      </c>
      <c r="E127" s="23" t="s">
        <v>105</v>
      </c>
      <c r="F127" s="25" t="s">
        <v>112</v>
      </c>
      <c r="G127" s="25" t="s">
        <v>119</v>
      </c>
      <c r="H127" s="15" t="s">
        <v>108</v>
      </c>
      <c r="I127" s="24"/>
      <c r="J127" s="15"/>
      <c r="K127" s="19"/>
    </row>
    <row r="128" spans="1:11" x14ac:dyDescent="0.3">
      <c r="A128" s="16">
        <v>127</v>
      </c>
      <c r="B128" s="21" t="s">
        <v>36</v>
      </c>
      <c r="C128" s="16" t="s">
        <v>32</v>
      </c>
      <c r="D128" s="22" t="s">
        <v>236</v>
      </c>
      <c r="E128" s="23" t="s">
        <v>105</v>
      </c>
      <c r="F128" s="16" t="s">
        <v>112</v>
      </c>
      <c r="G128" s="16" t="s">
        <v>107</v>
      </c>
      <c r="H128" s="15" t="s">
        <v>108</v>
      </c>
      <c r="I128" s="24"/>
      <c r="J128" s="15"/>
      <c r="K128" s="19"/>
    </row>
    <row r="129" spans="1:11" x14ac:dyDescent="0.3">
      <c r="A129" s="16">
        <v>128</v>
      </c>
      <c r="B129" s="21" t="s">
        <v>36</v>
      </c>
      <c r="C129" s="16" t="s">
        <v>32</v>
      </c>
      <c r="D129" s="22" t="s">
        <v>237</v>
      </c>
      <c r="E129" s="23" t="s">
        <v>105</v>
      </c>
      <c r="F129" s="16" t="s">
        <v>112</v>
      </c>
      <c r="G129" s="16" t="s">
        <v>107</v>
      </c>
      <c r="H129" s="15" t="s">
        <v>108</v>
      </c>
      <c r="I129" s="24"/>
      <c r="J129" s="15"/>
      <c r="K129" s="19"/>
    </row>
    <row r="130" spans="1:11" x14ac:dyDescent="0.3">
      <c r="A130" s="16">
        <v>129</v>
      </c>
      <c r="B130" s="21" t="s">
        <v>36</v>
      </c>
      <c r="C130" s="16" t="s">
        <v>32</v>
      </c>
      <c r="D130" s="22" t="s">
        <v>238</v>
      </c>
      <c r="E130" s="23" t="s">
        <v>105</v>
      </c>
      <c r="F130" s="16" t="s">
        <v>112</v>
      </c>
      <c r="G130" s="16" t="s">
        <v>107</v>
      </c>
      <c r="H130" s="15" t="s">
        <v>108</v>
      </c>
      <c r="I130" s="24"/>
      <c r="J130" s="15"/>
      <c r="K130" s="19"/>
    </row>
    <row r="131" spans="1:11" x14ac:dyDescent="0.3">
      <c r="A131" s="16">
        <v>130</v>
      </c>
      <c r="B131" s="21" t="s">
        <v>36</v>
      </c>
      <c r="C131" s="16" t="s">
        <v>32</v>
      </c>
      <c r="D131" s="22" t="s">
        <v>239</v>
      </c>
      <c r="E131" s="23" t="s">
        <v>105</v>
      </c>
      <c r="F131" s="16" t="s">
        <v>112</v>
      </c>
      <c r="G131" s="16" t="s">
        <v>107</v>
      </c>
      <c r="H131" s="15" t="s">
        <v>108</v>
      </c>
      <c r="I131" s="24"/>
      <c r="J131" s="15"/>
      <c r="K131" s="19"/>
    </row>
    <row r="132" spans="1:11" x14ac:dyDescent="0.3">
      <c r="A132" s="16">
        <v>131</v>
      </c>
      <c r="B132" s="21" t="s">
        <v>36</v>
      </c>
      <c r="C132" s="16" t="s">
        <v>32</v>
      </c>
      <c r="D132" s="22" t="s">
        <v>240</v>
      </c>
      <c r="E132" s="23" t="s">
        <v>105</v>
      </c>
      <c r="F132" s="16" t="s">
        <v>112</v>
      </c>
      <c r="G132" s="16" t="s">
        <v>107</v>
      </c>
      <c r="H132" s="15" t="s">
        <v>108</v>
      </c>
      <c r="I132" s="24"/>
      <c r="J132" s="15"/>
      <c r="K132" s="19"/>
    </row>
    <row r="133" spans="1:11" x14ac:dyDescent="0.3">
      <c r="A133" s="16">
        <v>132</v>
      </c>
      <c r="B133" s="21" t="s">
        <v>36</v>
      </c>
      <c r="C133" s="16" t="s">
        <v>32</v>
      </c>
      <c r="D133" s="22" t="s">
        <v>241</v>
      </c>
      <c r="E133" s="23" t="s">
        <v>105</v>
      </c>
      <c r="F133" s="16" t="s">
        <v>112</v>
      </c>
      <c r="G133" s="16" t="s">
        <v>107</v>
      </c>
      <c r="H133" s="15" t="s">
        <v>108</v>
      </c>
      <c r="I133" s="24"/>
      <c r="J133" s="15"/>
      <c r="K133" s="19"/>
    </row>
    <row r="134" spans="1:11" x14ac:dyDescent="0.3">
      <c r="A134" s="16">
        <v>133</v>
      </c>
      <c r="B134" s="21" t="s">
        <v>36</v>
      </c>
      <c r="C134" s="16" t="s">
        <v>32</v>
      </c>
      <c r="D134" s="22" t="s">
        <v>242</v>
      </c>
      <c r="E134" s="23" t="s">
        <v>105</v>
      </c>
      <c r="F134" s="16" t="s">
        <v>112</v>
      </c>
      <c r="G134" s="16" t="s">
        <v>107</v>
      </c>
      <c r="H134" s="15" t="s">
        <v>108</v>
      </c>
      <c r="I134" s="24"/>
      <c r="J134" s="15"/>
      <c r="K134" s="19"/>
    </row>
    <row r="135" spans="1:11" x14ac:dyDescent="0.3">
      <c r="A135" s="16">
        <v>134</v>
      </c>
      <c r="B135" s="21" t="s">
        <v>36</v>
      </c>
      <c r="C135" s="16" t="s">
        <v>32</v>
      </c>
      <c r="D135" s="22" t="s">
        <v>243</v>
      </c>
      <c r="E135" s="23" t="s">
        <v>105</v>
      </c>
      <c r="F135" s="16" t="s">
        <v>112</v>
      </c>
      <c r="G135" s="16" t="s">
        <v>107</v>
      </c>
      <c r="H135" s="15" t="s">
        <v>108</v>
      </c>
      <c r="I135" s="24"/>
      <c r="J135" s="15"/>
      <c r="K135" s="19"/>
    </row>
    <row r="136" spans="1:11" x14ac:dyDescent="0.3">
      <c r="A136" s="16">
        <v>135</v>
      </c>
      <c r="B136" s="21" t="s">
        <v>36</v>
      </c>
      <c r="C136" s="16" t="s">
        <v>32</v>
      </c>
      <c r="D136" s="22" t="s">
        <v>244</v>
      </c>
      <c r="E136" s="23" t="s">
        <v>105</v>
      </c>
      <c r="F136" s="16" t="s">
        <v>132</v>
      </c>
      <c r="G136" s="16" t="s">
        <v>107</v>
      </c>
      <c r="H136" s="15" t="s">
        <v>108</v>
      </c>
      <c r="I136" s="24"/>
      <c r="J136" s="15"/>
      <c r="K136" s="19"/>
    </row>
    <row r="137" spans="1:11" x14ac:dyDescent="0.3">
      <c r="A137" s="25">
        <v>136</v>
      </c>
      <c r="B137" s="26" t="s">
        <v>36</v>
      </c>
      <c r="C137" s="25" t="s">
        <v>32</v>
      </c>
      <c r="D137" s="22" t="s">
        <v>245</v>
      </c>
      <c r="E137" s="23" t="s">
        <v>105</v>
      </c>
      <c r="F137" s="25" t="s">
        <v>106</v>
      </c>
      <c r="G137" s="25" t="s">
        <v>119</v>
      </c>
      <c r="H137" s="15" t="s">
        <v>108</v>
      </c>
      <c r="I137" s="24"/>
      <c r="J137" s="15"/>
      <c r="K137" s="19"/>
    </row>
    <row r="138" spans="1:11" x14ac:dyDescent="0.3">
      <c r="A138" s="25">
        <v>137</v>
      </c>
      <c r="B138" s="26" t="s">
        <v>36</v>
      </c>
      <c r="C138" s="25" t="s">
        <v>32</v>
      </c>
      <c r="D138" s="22" t="s">
        <v>246</v>
      </c>
      <c r="E138" s="23" t="s">
        <v>105</v>
      </c>
      <c r="F138" s="25" t="s">
        <v>112</v>
      </c>
      <c r="G138" s="25" t="s">
        <v>119</v>
      </c>
      <c r="H138" s="15" t="s">
        <v>108</v>
      </c>
      <c r="I138" s="24"/>
      <c r="J138" s="15"/>
      <c r="K138" s="19"/>
    </row>
    <row r="139" spans="1:11" x14ac:dyDescent="0.3">
      <c r="A139" s="25">
        <v>138</v>
      </c>
      <c r="B139" s="26" t="s">
        <v>36</v>
      </c>
      <c r="C139" s="25" t="s">
        <v>32</v>
      </c>
      <c r="D139" s="22" t="s">
        <v>247</v>
      </c>
      <c r="E139" s="23" t="s">
        <v>105</v>
      </c>
      <c r="F139" s="25" t="s">
        <v>112</v>
      </c>
      <c r="G139" s="25" t="s">
        <v>119</v>
      </c>
      <c r="H139" s="15" t="s">
        <v>108</v>
      </c>
      <c r="I139" s="24"/>
      <c r="J139" s="15"/>
      <c r="K139" s="19"/>
    </row>
    <row r="140" spans="1:11" x14ac:dyDescent="0.3">
      <c r="A140" s="25">
        <v>139</v>
      </c>
      <c r="B140" s="26" t="s">
        <v>36</v>
      </c>
      <c r="C140" s="25" t="s">
        <v>32</v>
      </c>
      <c r="D140" s="22" t="s">
        <v>248</v>
      </c>
      <c r="E140" s="23" t="s">
        <v>105</v>
      </c>
      <c r="F140" s="25" t="s">
        <v>112</v>
      </c>
      <c r="G140" s="25" t="s">
        <v>119</v>
      </c>
      <c r="H140" s="15" t="s">
        <v>108</v>
      </c>
      <c r="I140" s="24"/>
      <c r="J140" s="15"/>
      <c r="K140" s="19"/>
    </row>
    <row r="141" spans="1:11" x14ac:dyDescent="0.3">
      <c r="A141" s="25">
        <v>140</v>
      </c>
      <c r="B141" s="26" t="s">
        <v>36</v>
      </c>
      <c r="C141" s="25" t="s">
        <v>32</v>
      </c>
      <c r="D141" s="22" t="s">
        <v>249</v>
      </c>
      <c r="E141" s="23" t="s">
        <v>105</v>
      </c>
      <c r="F141" s="25" t="s">
        <v>112</v>
      </c>
      <c r="G141" s="25" t="s">
        <v>119</v>
      </c>
      <c r="H141" s="15" t="s">
        <v>108</v>
      </c>
      <c r="I141" s="24"/>
      <c r="J141" s="15"/>
      <c r="K141" s="19"/>
    </row>
    <row r="142" spans="1:11" x14ac:dyDescent="0.3">
      <c r="A142" s="25">
        <v>141</v>
      </c>
      <c r="B142" s="26" t="s">
        <v>36</v>
      </c>
      <c r="C142" s="25" t="s">
        <v>32</v>
      </c>
      <c r="D142" s="22" t="s">
        <v>250</v>
      </c>
      <c r="E142" s="23" t="s">
        <v>105</v>
      </c>
      <c r="F142" s="25" t="s">
        <v>132</v>
      </c>
      <c r="G142" s="25" t="s">
        <v>119</v>
      </c>
      <c r="H142" s="15" t="s">
        <v>108</v>
      </c>
      <c r="I142" s="24"/>
      <c r="J142" s="15"/>
      <c r="K142" s="19"/>
    </row>
    <row r="143" spans="1:11" x14ac:dyDescent="0.3">
      <c r="A143" s="25">
        <v>142</v>
      </c>
      <c r="B143" s="26" t="s">
        <v>36</v>
      </c>
      <c r="C143" s="25" t="s">
        <v>32</v>
      </c>
      <c r="D143" s="22" t="s">
        <v>251</v>
      </c>
      <c r="E143" s="23" t="s">
        <v>105</v>
      </c>
      <c r="F143" s="25" t="s">
        <v>132</v>
      </c>
      <c r="G143" s="25" t="s">
        <v>119</v>
      </c>
      <c r="H143" s="15" t="s">
        <v>108</v>
      </c>
      <c r="I143" s="24"/>
      <c r="J143" s="15"/>
      <c r="K143" s="19"/>
    </row>
    <row r="144" spans="1:11" x14ac:dyDescent="0.3">
      <c r="A144" s="16">
        <v>143</v>
      </c>
      <c r="B144" s="21" t="s">
        <v>38</v>
      </c>
      <c r="C144" s="16" t="s">
        <v>39</v>
      </c>
      <c r="D144" s="22" t="s">
        <v>252</v>
      </c>
      <c r="E144" s="23" t="s">
        <v>105</v>
      </c>
      <c r="F144" s="16" t="s">
        <v>112</v>
      </c>
      <c r="G144" s="16" t="s">
        <v>107</v>
      </c>
      <c r="H144" s="15" t="s">
        <v>108</v>
      </c>
      <c r="I144" s="24"/>
      <c r="J144" s="15"/>
      <c r="K144" s="19"/>
    </row>
    <row r="145" spans="1:11" x14ac:dyDescent="0.3">
      <c r="A145" s="16">
        <v>144</v>
      </c>
      <c r="B145" s="21" t="s">
        <v>38</v>
      </c>
      <c r="C145" s="16" t="s">
        <v>39</v>
      </c>
      <c r="D145" s="22" t="s">
        <v>253</v>
      </c>
      <c r="E145" s="23" t="s">
        <v>105</v>
      </c>
      <c r="F145" s="16" t="s">
        <v>112</v>
      </c>
      <c r="G145" s="16" t="s">
        <v>107</v>
      </c>
      <c r="H145" s="15" t="s">
        <v>108</v>
      </c>
      <c r="I145" s="24"/>
      <c r="J145" s="15"/>
      <c r="K145" s="19"/>
    </row>
    <row r="146" spans="1:11" x14ac:dyDescent="0.3">
      <c r="A146" s="16">
        <v>145</v>
      </c>
      <c r="B146" s="21" t="s">
        <v>38</v>
      </c>
      <c r="C146" s="16" t="s">
        <v>39</v>
      </c>
      <c r="D146" s="22" t="s">
        <v>254</v>
      </c>
      <c r="E146" s="23" t="s">
        <v>105</v>
      </c>
      <c r="F146" s="16" t="s">
        <v>112</v>
      </c>
      <c r="G146" s="16" t="s">
        <v>107</v>
      </c>
      <c r="H146" s="15" t="s">
        <v>108</v>
      </c>
      <c r="I146" s="24"/>
      <c r="J146" s="15"/>
      <c r="K146" s="19"/>
    </row>
    <row r="147" spans="1:11" x14ac:dyDescent="0.3">
      <c r="A147" s="16">
        <v>146</v>
      </c>
      <c r="B147" s="21" t="s">
        <v>38</v>
      </c>
      <c r="C147" s="16" t="s">
        <v>39</v>
      </c>
      <c r="D147" s="22" t="s">
        <v>255</v>
      </c>
      <c r="E147" s="23" t="s">
        <v>105</v>
      </c>
      <c r="F147" s="16" t="s">
        <v>112</v>
      </c>
      <c r="G147" s="16" t="s">
        <v>107</v>
      </c>
      <c r="H147" s="15" t="s">
        <v>108</v>
      </c>
      <c r="I147" s="24"/>
      <c r="J147" s="15"/>
      <c r="K147" s="19"/>
    </row>
    <row r="148" spans="1:11" x14ac:dyDescent="0.3">
      <c r="A148" s="16">
        <v>147</v>
      </c>
      <c r="B148" s="21" t="s">
        <v>38</v>
      </c>
      <c r="C148" s="16" t="s">
        <v>39</v>
      </c>
      <c r="D148" s="22" t="s">
        <v>256</v>
      </c>
      <c r="E148" s="23" t="s">
        <v>105</v>
      </c>
      <c r="F148" s="16" t="s">
        <v>112</v>
      </c>
      <c r="G148" s="16" t="s">
        <v>107</v>
      </c>
      <c r="H148" s="15" t="s">
        <v>108</v>
      </c>
      <c r="I148" s="24"/>
      <c r="J148" s="15"/>
      <c r="K148" s="19"/>
    </row>
    <row r="149" spans="1:11" x14ac:dyDescent="0.3">
      <c r="A149" s="16">
        <v>148</v>
      </c>
      <c r="B149" s="21" t="s">
        <v>38</v>
      </c>
      <c r="C149" s="16" t="s">
        <v>39</v>
      </c>
      <c r="D149" s="22" t="s">
        <v>257</v>
      </c>
      <c r="E149" s="23" t="s">
        <v>105</v>
      </c>
      <c r="F149" s="16" t="s">
        <v>112</v>
      </c>
      <c r="G149" s="16" t="s">
        <v>107</v>
      </c>
      <c r="H149" s="15" t="s">
        <v>108</v>
      </c>
      <c r="I149" s="24"/>
      <c r="J149" s="15"/>
      <c r="K149" s="19"/>
    </row>
    <row r="150" spans="1:11" x14ac:dyDescent="0.3">
      <c r="A150" s="16">
        <v>149</v>
      </c>
      <c r="B150" s="21" t="s">
        <v>38</v>
      </c>
      <c r="C150" s="16" t="s">
        <v>39</v>
      </c>
      <c r="D150" s="22" t="s">
        <v>258</v>
      </c>
      <c r="E150" s="23" t="s">
        <v>105</v>
      </c>
      <c r="F150" s="16" t="s">
        <v>112</v>
      </c>
      <c r="G150" s="16" t="s">
        <v>107</v>
      </c>
      <c r="H150" s="15" t="s">
        <v>108</v>
      </c>
      <c r="I150" s="24"/>
      <c r="J150" s="15"/>
      <c r="K150" s="19"/>
    </row>
    <row r="151" spans="1:11" x14ac:dyDescent="0.3">
      <c r="A151" s="16">
        <v>150</v>
      </c>
      <c r="B151" s="21" t="s">
        <v>38</v>
      </c>
      <c r="C151" s="16" t="s">
        <v>39</v>
      </c>
      <c r="D151" s="22" t="s">
        <v>259</v>
      </c>
      <c r="E151" s="23" t="s">
        <v>105</v>
      </c>
      <c r="F151" s="16" t="s">
        <v>112</v>
      </c>
      <c r="G151" s="16" t="s">
        <v>107</v>
      </c>
      <c r="H151" s="15" t="s">
        <v>108</v>
      </c>
      <c r="I151" s="24"/>
      <c r="J151" s="15"/>
      <c r="K151" s="19"/>
    </row>
    <row r="152" spans="1:11" x14ac:dyDescent="0.3">
      <c r="A152" s="16">
        <v>151</v>
      </c>
      <c r="B152" s="21" t="s">
        <v>38</v>
      </c>
      <c r="C152" s="16" t="s">
        <v>39</v>
      </c>
      <c r="D152" s="22" t="s">
        <v>260</v>
      </c>
      <c r="E152" s="23" t="s">
        <v>105</v>
      </c>
      <c r="F152" s="16" t="s">
        <v>112</v>
      </c>
      <c r="G152" s="16" t="s">
        <v>107</v>
      </c>
      <c r="H152" s="15" t="s">
        <v>108</v>
      </c>
      <c r="I152" s="24"/>
      <c r="J152" s="15"/>
      <c r="K152" s="19"/>
    </row>
    <row r="153" spans="1:11" x14ac:dyDescent="0.3">
      <c r="A153" s="16">
        <v>152</v>
      </c>
      <c r="B153" s="21" t="s">
        <v>38</v>
      </c>
      <c r="C153" s="16" t="s">
        <v>39</v>
      </c>
      <c r="D153" s="22" t="s">
        <v>261</v>
      </c>
      <c r="E153" s="23" t="s">
        <v>105</v>
      </c>
      <c r="F153" s="16" t="s">
        <v>112</v>
      </c>
      <c r="G153" s="16" t="s">
        <v>107</v>
      </c>
      <c r="H153" s="15" t="s">
        <v>108</v>
      </c>
      <c r="I153" s="24"/>
      <c r="J153" s="15"/>
      <c r="K153" s="19"/>
    </row>
    <row r="154" spans="1:11" ht="26.4" x14ac:dyDescent="0.3">
      <c r="A154" s="16">
        <v>153</v>
      </c>
      <c r="B154" s="21" t="s">
        <v>38</v>
      </c>
      <c r="C154" s="16" t="s">
        <v>39</v>
      </c>
      <c r="D154" s="22" t="s">
        <v>262</v>
      </c>
      <c r="E154" s="23" t="s">
        <v>105</v>
      </c>
      <c r="F154" s="16" t="s">
        <v>112</v>
      </c>
      <c r="G154" s="16" t="s">
        <v>107</v>
      </c>
      <c r="H154" s="15" t="s">
        <v>108</v>
      </c>
      <c r="I154" s="24"/>
      <c r="J154" s="15"/>
      <c r="K154" s="19"/>
    </row>
    <row r="155" spans="1:11" x14ac:dyDescent="0.3">
      <c r="A155" s="16">
        <v>154</v>
      </c>
      <c r="B155" s="21" t="s">
        <v>38</v>
      </c>
      <c r="C155" s="16" t="s">
        <v>39</v>
      </c>
      <c r="D155" s="22" t="s">
        <v>263</v>
      </c>
      <c r="E155" s="23" t="s">
        <v>105</v>
      </c>
      <c r="F155" s="16" t="s">
        <v>112</v>
      </c>
      <c r="G155" s="16" t="s">
        <v>107</v>
      </c>
      <c r="H155" s="15" t="s">
        <v>108</v>
      </c>
      <c r="I155" s="24"/>
      <c r="J155" s="15"/>
      <c r="K155" s="19"/>
    </row>
    <row r="156" spans="1:11" x14ac:dyDescent="0.3">
      <c r="A156" s="16">
        <v>155</v>
      </c>
      <c r="B156" s="21" t="s">
        <v>38</v>
      </c>
      <c r="C156" s="16" t="s">
        <v>39</v>
      </c>
      <c r="D156" s="22" t="s">
        <v>264</v>
      </c>
      <c r="E156" s="23" t="s">
        <v>105</v>
      </c>
      <c r="F156" s="16" t="s">
        <v>132</v>
      </c>
      <c r="G156" s="16" t="s">
        <v>107</v>
      </c>
      <c r="H156" s="15" t="s">
        <v>108</v>
      </c>
      <c r="I156" s="24"/>
      <c r="J156" s="15"/>
      <c r="K156" s="19"/>
    </row>
    <row r="157" spans="1:11" x14ac:dyDescent="0.3">
      <c r="A157" s="25">
        <v>156</v>
      </c>
      <c r="B157" s="26" t="s">
        <v>38</v>
      </c>
      <c r="C157" s="25" t="s">
        <v>39</v>
      </c>
      <c r="D157" s="22" t="s">
        <v>265</v>
      </c>
      <c r="E157" s="23" t="s">
        <v>105</v>
      </c>
      <c r="F157" s="25" t="s">
        <v>106</v>
      </c>
      <c r="G157" s="25" t="s">
        <v>119</v>
      </c>
      <c r="H157" s="15" t="s">
        <v>108</v>
      </c>
      <c r="I157" s="24"/>
      <c r="J157" s="15"/>
      <c r="K157" s="19"/>
    </row>
    <row r="158" spans="1:11" x14ac:dyDescent="0.3">
      <c r="A158" s="25">
        <v>157</v>
      </c>
      <c r="B158" s="26" t="s">
        <v>38</v>
      </c>
      <c r="C158" s="25" t="s">
        <v>39</v>
      </c>
      <c r="D158" s="22" t="s">
        <v>266</v>
      </c>
      <c r="E158" s="23" t="s">
        <v>105</v>
      </c>
      <c r="F158" s="25" t="s">
        <v>106</v>
      </c>
      <c r="G158" s="25" t="s">
        <v>119</v>
      </c>
      <c r="H158" s="15" t="s">
        <v>108</v>
      </c>
      <c r="I158" s="24"/>
      <c r="J158" s="15"/>
      <c r="K158" s="19"/>
    </row>
    <row r="159" spans="1:11" x14ac:dyDescent="0.3">
      <c r="A159" s="25">
        <v>158</v>
      </c>
      <c r="B159" s="26" t="s">
        <v>38</v>
      </c>
      <c r="C159" s="25" t="s">
        <v>39</v>
      </c>
      <c r="D159" s="22" t="s">
        <v>267</v>
      </c>
      <c r="E159" s="23" t="s">
        <v>105</v>
      </c>
      <c r="F159" s="25" t="s">
        <v>106</v>
      </c>
      <c r="G159" s="25" t="s">
        <v>119</v>
      </c>
      <c r="H159" s="15" t="s">
        <v>108</v>
      </c>
      <c r="I159" s="24"/>
      <c r="J159" s="15"/>
      <c r="K159" s="19"/>
    </row>
    <row r="160" spans="1:11" x14ac:dyDescent="0.3">
      <c r="A160" s="25">
        <v>159</v>
      </c>
      <c r="B160" s="26" t="s">
        <v>38</v>
      </c>
      <c r="C160" s="25" t="s">
        <v>39</v>
      </c>
      <c r="D160" s="22" t="s">
        <v>268</v>
      </c>
      <c r="E160" s="23" t="s">
        <v>105</v>
      </c>
      <c r="F160" s="25" t="s">
        <v>112</v>
      </c>
      <c r="G160" s="25" t="s">
        <v>119</v>
      </c>
      <c r="H160" s="15" t="s">
        <v>108</v>
      </c>
      <c r="I160" s="24"/>
      <c r="J160" s="15"/>
      <c r="K160" s="19"/>
    </row>
    <row r="161" spans="1:11" x14ac:dyDescent="0.3">
      <c r="A161" s="25">
        <v>160</v>
      </c>
      <c r="B161" s="26" t="s">
        <v>38</v>
      </c>
      <c r="C161" s="25" t="s">
        <v>39</v>
      </c>
      <c r="D161" s="22" t="s">
        <v>269</v>
      </c>
      <c r="E161" s="23" t="s">
        <v>105</v>
      </c>
      <c r="F161" s="25" t="s">
        <v>112</v>
      </c>
      <c r="G161" s="25" t="s">
        <v>119</v>
      </c>
      <c r="H161" s="15" t="s">
        <v>108</v>
      </c>
      <c r="I161" s="24"/>
      <c r="J161" s="15"/>
      <c r="K161" s="19"/>
    </row>
    <row r="162" spans="1:11" x14ac:dyDescent="0.3">
      <c r="A162" s="25">
        <v>161</v>
      </c>
      <c r="B162" s="26" t="s">
        <v>38</v>
      </c>
      <c r="C162" s="25" t="s">
        <v>39</v>
      </c>
      <c r="D162" s="22" t="s">
        <v>270</v>
      </c>
      <c r="E162" s="23" t="s">
        <v>105</v>
      </c>
      <c r="F162" s="25" t="s">
        <v>112</v>
      </c>
      <c r="G162" s="25" t="s">
        <v>119</v>
      </c>
      <c r="H162" s="15" t="s">
        <v>108</v>
      </c>
      <c r="I162" s="24"/>
      <c r="J162" s="15"/>
      <c r="K162" s="19"/>
    </row>
    <row r="163" spans="1:11" x14ac:dyDescent="0.3">
      <c r="A163" s="25">
        <v>162</v>
      </c>
      <c r="B163" s="26" t="s">
        <v>38</v>
      </c>
      <c r="C163" s="25" t="s">
        <v>39</v>
      </c>
      <c r="D163" s="22" t="s">
        <v>271</v>
      </c>
      <c r="E163" s="23" t="s">
        <v>105</v>
      </c>
      <c r="F163" s="25" t="s">
        <v>112</v>
      </c>
      <c r="G163" s="25" t="s">
        <v>119</v>
      </c>
      <c r="H163" s="15" t="s">
        <v>108</v>
      </c>
      <c r="I163" s="24"/>
      <c r="J163" s="15"/>
      <c r="K163" s="19"/>
    </row>
    <row r="164" spans="1:11" x14ac:dyDescent="0.3">
      <c r="A164" s="25">
        <v>163</v>
      </c>
      <c r="B164" s="26" t="s">
        <v>38</v>
      </c>
      <c r="C164" s="25" t="s">
        <v>39</v>
      </c>
      <c r="D164" s="22" t="s">
        <v>272</v>
      </c>
      <c r="E164" s="23" t="s">
        <v>105</v>
      </c>
      <c r="F164" s="25" t="s">
        <v>112</v>
      </c>
      <c r="G164" s="25" t="s">
        <v>119</v>
      </c>
      <c r="H164" s="15" t="s">
        <v>108</v>
      </c>
      <c r="I164" s="24"/>
      <c r="J164" s="15"/>
      <c r="K164" s="19"/>
    </row>
    <row r="165" spans="1:11" x14ac:dyDescent="0.3">
      <c r="A165" s="16">
        <v>164</v>
      </c>
      <c r="B165" s="21" t="s">
        <v>41</v>
      </c>
      <c r="C165" s="16" t="s">
        <v>39</v>
      </c>
      <c r="D165" s="22" t="s">
        <v>273</v>
      </c>
      <c r="E165" s="23" t="s">
        <v>105</v>
      </c>
      <c r="F165" s="16" t="s">
        <v>112</v>
      </c>
      <c r="G165" s="16" t="s">
        <v>107</v>
      </c>
      <c r="H165" s="15" t="s">
        <v>108</v>
      </c>
      <c r="I165" s="24"/>
      <c r="J165" s="15"/>
      <c r="K165" s="19"/>
    </row>
    <row r="166" spans="1:11" x14ac:dyDescent="0.3">
      <c r="A166" s="16">
        <v>165</v>
      </c>
      <c r="B166" s="21" t="s">
        <v>41</v>
      </c>
      <c r="C166" s="16" t="s">
        <v>39</v>
      </c>
      <c r="D166" s="22" t="s">
        <v>274</v>
      </c>
      <c r="E166" s="23" t="s">
        <v>105</v>
      </c>
      <c r="F166" s="16" t="s">
        <v>132</v>
      </c>
      <c r="G166" s="16" t="s">
        <v>107</v>
      </c>
      <c r="H166" s="15" t="s">
        <v>108</v>
      </c>
      <c r="I166" s="24"/>
      <c r="J166" s="15"/>
      <c r="K166" s="19"/>
    </row>
    <row r="167" spans="1:11" x14ac:dyDescent="0.3">
      <c r="A167" s="16">
        <v>166</v>
      </c>
      <c r="B167" s="21" t="s">
        <v>41</v>
      </c>
      <c r="C167" s="16" t="s">
        <v>39</v>
      </c>
      <c r="D167" s="22" t="s">
        <v>275</v>
      </c>
      <c r="E167" s="23" t="s">
        <v>105</v>
      </c>
      <c r="F167" s="16" t="s">
        <v>112</v>
      </c>
      <c r="G167" s="16" t="s">
        <v>107</v>
      </c>
      <c r="H167" s="15" t="s">
        <v>108</v>
      </c>
      <c r="I167" s="24"/>
      <c r="J167" s="15"/>
      <c r="K167" s="19"/>
    </row>
    <row r="168" spans="1:11" x14ac:dyDescent="0.3">
      <c r="A168" s="16">
        <v>167</v>
      </c>
      <c r="B168" s="21" t="s">
        <v>41</v>
      </c>
      <c r="C168" s="16" t="s">
        <v>39</v>
      </c>
      <c r="D168" s="22" t="s">
        <v>276</v>
      </c>
      <c r="E168" s="23" t="s">
        <v>105</v>
      </c>
      <c r="F168" s="16" t="s">
        <v>132</v>
      </c>
      <c r="G168" s="16" t="s">
        <v>107</v>
      </c>
      <c r="H168" s="15" t="s">
        <v>108</v>
      </c>
      <c r="I168" s="24"/>
      <c r="J168" s="15"/>
      <c r="K168" s="19"/>
    </row>
    <row r="169" spans="1:11" x14ac:dyDescent="0.3">
      <c r="A169" s="16">
        <v>168</v>
      </c>
      <c r="B169" s="21" t="s">
        <v>41</v>
      </c>
      <c r="C169" s="16" t="s">
        <v>39</v>
      </c>
      <c r="D169" s="22" t="s">
        <v>277</v>
      </c>
      <c r="E169" s="23" t="s">
        <v>105</v>
      </c>
      <c r="F169" s="16" t="s">
        <v>132</v>
      </c>
      <c r="G169" s="16" t="s">
        <v>107</v>
      </c>
      <c r="H169" s="15" t="s">
        <v>108</v>
      </c>
      <c r="I169" s="24"/>
      <c r="J169" s="15"/>
      <c r="K169" s="19"/>
    </row>
    <row r="170" spans="1:11" x14ac:dyDescent="0.3">
      <c r="A170" s="16">
        <v>169</v>
      </c>
      <c r="B170" s="21" t="s">
        <v>41</v>
      </c>
      <c r="C170" s="16" t="s">
        <v>39</v>
      </c>
      <c r="D170" s="22" t="s">
        <v>278</v>
      </c>
      <c r="E170" s="23" t="s">
        <v>105</v>
      </c>
      <c r="F170" s="16" t="s">
        <v>112</v>
      </c>
      <c r="G170" s="16" t="s">
        <v>107</v>
      </c>
      <c r="H170" s="15" t="s">
        <v>108</v>
      </c>
      <c r="I170" s="24"/>
      <c r="J170" s="15"/>
      <c r="K170" s="19"/>
    </row>
    <row r="171" spans="1:11" x14ac:dyDescent="0.3">
      <c r="A171" s="25">
        <v>170</v>
      </c>
      <c r="B171" s="26" t="s">
        <v>41</v>
      </c>
      <c r="C171" s="25" t="s">
        <v>39</v>
      </c>
      <c r="D171" s="22" t="s">
        <v>279</v>
      </c>
      <c r="E171" s="23" t="s">
        <v>105</v>
      </c>
      <c r="F171" s="25" t="s">
        <v>112</v>
      </c>
      <c r="G171" s="25" t="s">
        <v>119</v>
      </c>
      <c r="H171" s="15" t="s">
        <v>108</v>
      </c>
      <c r="I171" s="24"/>
      <c r="J171" s="15"/>
      <c r="K171" s="19"/>
    </row>
    <row r="172" spans="1:11" ht="26.4" x14ac:dyDescent="0.3">
      <c r="A172" s="25">
        <v>171</v>
      </c>
      <c r="B172" s="26" t="s">
        <v>41</v>
      </c>
      <c r="C172" s="25" t="s">
        <v>39</v>
      </c>
      <c r="D172" s="22" t="s">
        <v>280</v>
      </c>
      <c r="E172" s="23" t="s">
        <v>105</v>
      </c>
      <c r="F172" s="25" t="s">
        <v>132</v>
      </c>
      <c r="G172" s="25" t="s">
        <v>119</v>
      </c>
      <c r="H172" s="15" t="s">
        <v>108</v>
      </c>
      <c r="I172" s="24"/>
      <c r="J172" s="15"/>
      <c r="K172" s="19"/>
    </row>
    <row r="173" spans="1:11" x14ac:dyDescent="0.3">
      <c r="A173" s="25">
        <v>172</v>
      </c>
      <c r="B173" s="26" t="s">
        <v>41</v>
      </c>
      <c r="C173" s="25" t="s">
        <v>39</v>
      </c>
      <c r="D173" s="22" t="s">
        <v>281</v>
      </c>
      <c r="E173" s="23" t="s">
        <v>105</v>
      </c>
      <c r="F173" s="25" t="s">
        <v>132</v>
      </c>
      <c r="G173" s="25" t="s">
        <v>119</v>
      </c>
      <c r="H173" s="15" t="s">
        <v>108</v>
      </c>
      <c r="I173" s="24"/>
      <c r="J173" s="15"/>
      <c r="K173" s="19"/>
    </row>
    <row r="174" spans="1:11" x14ac:dyDescent="0.3">
      <c r="A174" s="25">
        <v>173</v>
      </c>
      <c r="B174" s="26" t="s">
        <v>41</v>
      </c>
      <c r="C174" s="25" t="s">
        <v>39</v>
      </c>
      <c r="D174" s="22" t="s">
        <v>282</v>
      </c>
      <c r="E174" s="23" t="s">
        <v>105</v>
      </c>
      <c r="F174" s="25" t="s">
        <v>132</v>
      </c>
      <c r="G174" s="25" t="s">
        <v>119</v>
      </c>
      <c r="H174" s="15" t="s">
        <v>108</v>
      </c>
      <c r="I174" s="24"/>
      <c r="J174" s="15"/>
      <c r="K174" s="19"/>
    </row>
    <row r="175" spans="1:11" ht="26.4" x14ac:dyDescent="0.3">
      <c r="A175" s="16">
        <v>174</v>
      </c>
      <c r="B175" s="21" t="s">
        <v>42</v>
      </c>
      <c r="C175" s="16" t="s">
        <v>43</v>
      </c>
      <c r="D175" s="22" t="s">
        <v>283</v>
      </c>
      <c r="E175" s="23" t="s">
        <v>105</v>
      </c>
      <c r="F175" s="16" t="s">
        <v>106</v>
      </c>
      <c r="G175" s="16" t="s">
        <v>107</v>
      </c>
      <c r="H175" s="15" t="s">
        <v>108</v>
      </c>
      <c r="I175" s="24"/>
      <c r="J175" s="15"/>
      <c r="K175" s="19"/>
    </row>
    <row r="176" spans="1:11" ht="26.4" x14ac:dyDescent="0.3">
      <c r="A176" s="16">
        <v>175</v>
      </c>
      <c r="B176" s="21" t="s">
        <v>42</v>
      </c>
      <c r="C176" s="16" t="s">
        <v>43</v>
      </c>
      <c r="D176" s="22" t="s">
        <v>284</v>
      </c>
      <c r="E176" s="23" t="s">
        <v>105</v>
      </c>
      <c r="F176" s="16" t="s">
        <v>106</v>
      </c>
      <c r="G176" s="16" t="s">
        <v>107</v>
      </c>
      <c r="H176" s="15" t="s">
        <v>108</v>
      </c>
      <c r="I176" s="24"/>
      <c r="J176" s="15"/>
      <c r="K176" s="19"/>
    </row>
    <row r="177" spans="1:11" ht="26.4" x14ac:dyDescent="0.3">
      <c r="A177" s="16">
        <v>176</v>
      </c>
      <c r="B177" s="21" t="s">
        <v>42</v>
      </c>
      <c r="C177" s="16" t="s">
        <v>43</v>
      </c>
      <c r="D177" s="22" t="s">
        <v>285</v>
      </c>
      <c r="E177" s="23" t="s">
        <v>105</v>
      </c>
      <c r="F177" s="16" t="s">
        <v>112</v>
      </c>
      <c r="G177" s="16" t="s">
        <v>107</v>
      </c>
      <c r="H177" s="15" t="s">
        <v>108</v>
      </c>
      <c r="I177" s="24"/>
      <c r="J177" s="15"/>
      <c r="K177" s="19"/>
    </row>
    <row r="178" spans="1:11" ht="26.4" x14ac:dyDescent="0.3">
      <c r="A178" s="16">
        <v>177</v>
      </c>
      <c r="B178" s="21" t="s">
        <v>42</v>
      </c>
      <c r="C178" s="16" t="s">
        <v>43</v>
      </c>
      <c r="D178" s="22" t="s">
        <v>286</v>
      </c>
      <c r="E178" s="23" t="s">
        <v>105</v>
      </c>
      <c r="F178" s="16" t="s">
        <v>112</v>
      </c>
      <c r="G178" s="16" t="s">
        <v>107</v>
      </c>
      <c r="H178" s="15" t="s">
        <v>108</v>
      </c>
      <c r="I178" s="24"/>
      <c r="J178" s="15"/>
      <c r="K178" s="19"/>
    </row>
    <row r="179" spans="1:11" ht="26.4" x14ac:dyDescent="0.3">
      <c r="A179" s="16">
        <v>178</v>
      </c>
      <c r="B179" s="21" t="s">
        <v>42</v>
      </c>
      <c r="C179" s="16" t="s">
        <v>43</v>
      </c>
      <c r="D179" s="22" t="s">
        <v>287</v>
      </c>
      <c r="E179" s="23" t="s">
        <v>105</v>
      </c>
      <c r="F179" s="16" t="s">
        <v>112</v>
      </c>
      <c r="G179" s="16" t="s">
        <v>107</v>
      </c>
      <c r="H179" s="15" t="s">
        <v>108</v>
      </c>
      <c r="I179" s="24"/>
      <c r="J179" s="15"/>
      <c r="K179" s="19"/>
    </row>
    <row r="180" spans="1:11" ht="26.4" x14ac:dyDescent="0.3">
      <c r="A180" s="16">
        <v>179</v>
      </c>
      <c r="B180" s="21" t="s">
        <v>42</v>
      </c>
      <c r="C180" s="16" t="s">
        <v>43</v>
      </c>
      <c r="D180" s="22" t="s">
        <v>288</v>
      </c>
      <c r="E180" s="23" t="s">
        <v>105</v>
      </c>
      <c r="F180" s="16" t="s">
        <v>112</v>
      </c>
      <c r="G180" s="16" t="s">
        <v>107</v>
      </c>
      <c r="H180" s="15" t="s">
        <v>108</v>
      </c>
      <c r="I180" s="24"/>
      <c r="J180" s="15"/>
      <c r="K180" s="19"/>
    </row>
    <row r="181" spans="1:11" ht="26.4" x14ac:dyDescent="0.3">
      <c r="A181" s="16">
        <v>180</v>
      </c>
      <c r="B181" s="21" t="s">
        <v>42</v>
      </c>
      <c r="C181" s="16" t="s">
        <v>43</v>
      </c>
      <c r="D181" s="22" t="s">
        <v>289</v>
      </c>
      <c r="E181" s="23" t="s">
        <v>105</v>
      </c>
      <c r="F181" s="16" t="s">
        <v>112</v>
      </c>
      <c r="G181" s="16" t="s">
        <v>107</v>
      </c>
      <c r="H181" s="15" t="s">
        <v>108</v>
      </c>
      <c r="I181" s="24"/>
      <c r="J181" s="15"/>
      <c r="K181" s="19"/>
    </row>
    <row r="182" spans="1:11" ht="26.4" x14ac:dyDescent="0.3">
      <c r="A182" s="16">
        <v>181</v>
      </c>
      <c r="B182" s="21" t="s">
        <v>42</v>
      </c>
      <c r="C182" s="16" t="s">
        <v>43</v>
      </c>
      <c r="D182" s="22" t="s">
        <v>290</v>
      </c>
      <c r="E182" s="23" t="s">
        <v>105</v>
      </c>
      <c r="F182" s="16" t="s">
        <v>112</v>
      </c>
      <c r="G182" s="16" t="s">
        <v>107</v>
      </c>
      <c r="H182" s="15" t="s">
        <v>108</v>
      </c>
      <c r="I182" s="24"/>
      <c r="J182" s="15"/>
      <c r="K182" s="19"/>
    </row>
    <row r="183" spans="1:11" ht="26.4" x14ac:dyDescent="0.3">
      <c r="A183" s="16">
        <v>182</v>
      </c>
      <c r="B183" s="21" t="s">
        <v>42</v>
      </c>
      <c r="C183" s="16" t="s">
        <v>43</v>
      </c>
      <c r="D183" s="22" t="s">
        <v>291</v>
      </c>
      <c r="E183" s="23" t="s">
        <v>105</v>
      </c>
      <c r="F183" s="16" t="s">
        <v>112</v>
      </c>
      <c r="G183" s="16" t="s">
        <v>107</v>
      </c>
      <c r="H183" s="15" t="s">
        <v>108</v>
      </c>
      <c r="I183" s="24"/>
      <c r="J183" s="15"/>
      <c r="K183" s="19"/>
    </row>
    <row r="184" spans="1:11" ht="26.4" x14ac:dyDescent="0.3">
      <c r="A184" s="16">
        <v>183</v>
      </c>
      <c r="B184" s="21" t="s">
        <v>42</v>
      </c>
      <c r="C184" s="16" t="s">
        <v>43</v>
      </c>
      <c r="D184" s="22" t="s">
        <v>292</v>
      </c>
      <c r="E184" s="23" t="s">
        <v>105</v>
      </c>
      <c r="F184" s="16" t="s">
        <v>112</v>
      </c>
      <c r="G184" s="16" t="s">
        <v>107</v>
      </c>
      <c r="H184" s="15" t="s">
        <v>108</v>
      </c>
      <c r="I184" s="24"/>
      <c r="J184" s="15"/>
      <c r="K184" s="19"/>
    </row>
    <row r="185" spans="1:11" ht="26.4" x14ac:dyDescent="0.3">
      <c r="A185" s="16">
        <v>184</v>
      </c>
      <c r="B185" s="21" t="s">
        <v>42</v>
      </c>
      <c r="C185" s="16" t="s">
        <v>43</v>
      </c>
      <c r="D185" s="22" t="s">
        <v>293</v>
      </c>
      <c r="E185" s="23" t="s">
        <v>105</v>
      </c>
      <c r="F185" s="16" t="s">
        <v>112</v>
      </c>
      <c r="G185" s="16" t="s">
        <v>107</v>
      </c>
      <c r="H185" s="15" t="s">
        <v>108</v>
      </c>
      <c r="I185" s="24"/>
      <c r="J185" s="15"/>
      <c r="K185" s="19"/>
    </row>
    <row r="186" spans="1:11" ht="26.4" x14ac:dyDescent="0.3">
      <c r="A186" s="16">
        <v>185</v>
      </c>
      <c r="B186" s="21" t="s">
        <v>42</v>
      </c>
      <c r="C186" s="16" t="s">
        <v>43</v>
      </c>
      <c r="D186" s="22" t="s">
        <v>294</v>
      </c>
      <c r="E186" s="23" t="s">
        <v>105</v>
      </c>
      <c r="F186" s="16" t="s">
        <v>112</v>
      </c>
      <c r="G186" s="16" t="s">
        <v>107</v>
      </c>
      <c r="H186" s="15" t="s">
        <v>108</v>
      </c>
      <c r="I186" s="24"/>
      <c r="J186" s="15"/>
      <c r="K186" s="19"/>
    </row>
    <row r="187" spans="1:11" ht="26.4" x14ac:dyDescent="0.3">
      <c r="A187" s="25">
        <v>186</v>
      </c>
      <c r="B187" s="26" t="s">
        <v>42</v>
      </c>
      <c r="C187" s="25" t="s">
        <v>43</v>
      </c>
      <c r="D187" s="22" t="s">
        <v>295</v>
      </c>
      <c r="E187" s="23" t="s">
        <v>105</v>
      </c>
      <c r="F187" s="25" t="s">
        <v>106</v>
      </c>
      <c r="G187" s="25" t="s">
        <v>119</v>
      </c>
      <c r="H187" s="15" t="s">
        <v>108</v>
      </c>
      <c r="I187" s="24"/>
      <c r="J187" s="15"/>
      <c r="K187" s="19"/>
    </row>
    <row r="188" spans="1:11" ht="26.4" x14ac:dyDescent="0.3">
      <c r="A188" s="25">
        <v>187</v>
      </c>
      <c r="B188" s="26" t="s">
        <v>42</v>
      </c>
      <c r="C188" s="25" t="s">
        <v>43</v>
      </c>
      <c r="D188" s="22" t="s">
        <v>296</v>
      </c>
      <c r="E188" s="23" t="s">
        <v>105</v>
      </c>
      <c r="F188" s="25" t="s">
        <v>112</v>
      </c>
      <c r="G188" s="25" t="s">
        <v>119</v>
      </c>
      <c r="H188" s="15" t="s">
        <v>108</v>
      </c>
      <c r="I188" s="24"/>
      <c r="J188" s="15"/>
      <c r="K188" s="19"/>
    </row>
    <row r="189" spans="1:11" ht="26.4" x14ac:dyDescent="0.3">
      <c r="A189" s="25">
        <v>188</v>
      </c>
      <c r="B189" s="26" t="s">
        <v>42</v>
      </c>
      <c r="C189" s="25" t="s">
        <v>43</v>
      </c>
      <c r="D189" s="22" t="s">
        <v>297</v>
      </c>
      <c r="E189" s="23" t="s">
        <v>105</v>
      </c>
      <c r="F189" s="25" t="s">
        <v>112</v>
      </c>
      <c r="G189" s="25" t="s">
        <v>119</v>
      </c>
      <c r="H189" s="15" t="s">
        <v>108</v>
      </c>
      <c r="I189" s="24"/>
      <c r="J189" s="15"/>
      <c r="K189" s="19"/>
    </row>
    <row r="190" spans="1:11" ht="26.4" x14ac:dyDescent="0.3">
      <c r="A190" s="25">
        <v>189</v>
      </c>
      <c r="B190" s="26" t="s">
        <v>42</v>
      </c>
      <c r="C190" s="25" t="s">
        <v>43</v>
      </c>
      <c r="D190" s="22" t="s">
        <v>298</v>
      </c>
      <c r="E190" s="23" t="s">
        <v>105</v>
      </c>
      <c r="F190" s="25" t="s">
        <v>112</v>
      </c>
      <c r="G190" s="25" t="s">
        <v>119</v>
      </c>
      <c r="H190" s="15" t="s">
        <v>108</v>
      </c>
      <c r="I190" s="24"/>
      <c r="J190" s="15"/>
      <c r="K190" s="19"/>
    </row>
    <row r="191" spans="1:11" ht="26.4" x14ac:dyDescent="0.3">
      <c r="A191" s="25">
        <v>190</v>
      </c>
      <c r="B191" s="26" t="s">
        <v>42</v>
      </c>
      <c r="C191" s="25" t="s">
        <v>43</v>
      </c>
      <c r="D191" s="22" t="s">
        <v>299</v>
      </c>
      <c r="E191" s="23" t="s">
        <v>105</v>
      </c>
      <c r="F191" s="25" t="s">
        <v>132</v>
      </c>
      <c r="G191" s="25" t="s">
        <v>119</v>
      </c>
      <c r="H191" s="15" t="s">
        <v>108</v>
      </c>
      <c r="I191" s="24"/>
      <c r="J191" s="15"/>
      <c r="K191" s="19"/>
    </row>
    <row r="192" spans="1:11" ht="26.4" x14ac:dyDescent="0.3">
      <c r="A192" s="16">
        <v>191</v>
      </c>
      <c r="B192" s="21" t="s">
        <v>46</v>
      </c>
      <c r="C192" s="16" t="s">
        <v>47</v>
      </c>
      <c r="D192" s="22" t="s">
        <v>300</v>
      </c>
      <c r="E192" s="23" t="s">
        <v>105</v>
      </c>
      <c r="F192" s="16" t="s">
        <v>112</v>
      </c>
      <c r="G192" s="16" t="s">
        <v>107</v>
      </c>
      <c r="H192" s="15" t="s">
        <v>108</v>
      </c>
      <c r="I192" s="24"/>
      <c r="J192" s="15"/>
      <c r="K192" s="19"/>
    </row>
    <row r="193" spans="1:11" ht="26.4" x14ac:dyDescent="0.3">
      <c r="A193" s="16">
        <v>192</v>
      </c>
      <c r="B193" s="21" t="s">
        <v>46</v>
      </c>
      <c r="C193" s="16" t="s">
        <v>47</v>
      </c>
      <c r="D193" s="22" t="s">
        <v>301</v>
      </c>
      <c r="E193" s="23" t="s">
        <v>105</v>
      </c>
      <c r="F193" s="16" t="s">
        <v>112</v>
      </c>
      <c r="G193" s="16" t="s">
        <v>107</v>
      </c>
      <c r="H193" s="15" t="s">
        <v>108</v>
      </c>
      <c r="I193" s="24"/>
      <c r="J193" s="15"/>
      <c r="K193" s="19"/>
    </row>
    <row r="194" spans="1:11" ht="26.4" x14ac:dyDescent="0.3">
      <c r="A194" s="16">
        <v>193</v>
      </c>
      <c r="B194" s="21" t="s">
        <v>46</v>
      </c>
      <c r="C194" s="16" t="s">
        <v>47</v>
      </c>
      <c r="D194" s="22" t="s">
        <v>302</v>
      </c>
      <c r="E194" s="23" t="s">
        <v>105</v>
      </c>
      <c r="F194" s="16" t="s">
        <v>112</v>
      </c>
      <c r="G194" s="16" t="s">
        <v>107</v>
      </c>
      <c r="H194" s="15" t="s">
        <v>108</v>
      </c>
      <c r="I194" s="24"/>
      <c r="J194" s="15"/>
      <c r="K194" s="19"/>
    </row>
    <row r="195" spans="1:11" ht="26.4" x14ac:dyDescent="0.3">
      <c r="A195" s="16">
        <v>194</v>
      </c>
      <c r="B195" s="21" t="s">
        <v>46</v>
      </c>
      <c r="C195" s="16" t="s">
        <v>47</v>
      </c>
      <c r="D195" s="22" t="s">
        <v>303</v>
      </c>
      <c r="E195" s="23" t="s">
        <v>105</v>
      </c>
      <c r="F195" s="16" t="s">
        <v>112</v>
      </c>
      <c r="G195" s="16" t="s">
        <v>107</v>
      </c>
      <c r="H195" s="15" t="s">
        <v>108</v>
      </c>
      <c r="I195" s="24"/>
      <c r="J195" s="15"/>
      <c r="K195" s="19"/>
    </row>
    <row r="196" spans="1:11" ht="26.4" x14ac:dyDescent="0.3">
      <c r="A196" s="16">
        <v>195</v>
      </c>
      <c r="B196" s="21" t="s">
        <v>46</v>
      </c>
      <c r="C196" s="16" t="s">
        <v>47</v>
      </c>
      <c r="D196" s="22" t="s">
        <v>304</v>
      </c>
      <c r="E196" s="23" t="s">
        <v>105</v>
      </c>
      <c r="F196" s="16" t="s">
        <v>112</v>
      </c>
      <c r="G196" s="16" t="s">
        <v>107</v>
      </c>
      <c r="H196" s="15" t="s">
        <v>108</v>
      </c>
      <c r="I196" s="24"/>
      <c r="J196" s="15"/>
      <c r="K196" s="19"/>
    </row>
    <row r="197" spans="1:11" ht="26.4" x14ac:dyDescent="0.3">
      <c r="A197" s="16">
        <v>196</v>
      </c>
      <c r="B197" s="21" t="s">
        <v>46</v>
      </c>
      <c r="C197" s="16" t="s">
        <v>47</v>
      </c>
      <c r="D197" s="22" t="s">
        <v>305</v>
      </c>
      <c r="E197" s="23" t="s">
        <v>105</v>
      </c>
      <c r="F197" s="16" t="s">
        <v>112</v>
      </c>
      <c r="G197" s="16" t="s">
        <v>107</v>
      </c>
      <c r="H197" s="15" t="s">
        <v>108</v>
      </c>
      <c r="I197" s="24"/>
      <c r="J197" s="15"/>
      <c r="K197" s="19"/>
    </row>
    <row r="198" spans="1:11" ht="26.4" x14ac:dyDescent="0.3">
      <c r="A198" s="16">
        <v>197</v>
      </c>
      <c r="B198" s="21" t="s">
        <v>46</v>
      </c>
      <c r="C198" s="16" t="s">
        <v>47</v>
      </c>
      <c r="D198" s="22" t="s">
        <v>306</v>
      </c>
      <c r="E198" s="23" t="s">
        <v>105</v>
      </c>
      <c r="F198" s="16" t="s">
        <v>132</v>
      </c>
      <c r="G198" s="16" t="s">
        <v>107</v>
      </c>
      <c r="H198" s="15" t="s">
        <v>108</v>
      </c>
      <c r="I198" s="24"/>
      <c r="J198" s="15"/>
      <c r="K198" s="19"/>
    </row>
    <row r="199" spans="1:11" ht="26.4" x14ac:dyDescent="0.3">
      <c r="A199" s="16">
        <v>198</v>
      </c>
      <c r="B199" s="21" t="s">
        <v>46</v>
      </c>
      <c r="C199" s="16" t="s">
        <v>47</v>
      </c>
      <c r="D199" s="22" t="s">
        <v>307</v>
      </c>
      <c r="E199" s="23" t="s">
        <v>105</v>
      </c>
      <c r="F199" s="16" t="s">
        <v>132</v>
      </c>
      <c r="G199" s="16" t="s">
        <v>107</v>
      </c>
      <c r="H199" s="15" t="s">
        <v>108</v>
      </c>
      <c r="I199" s="24"/>
      <c r="J199" s="15"/>
      <c r="K199" s="19"/>
    </row>
    <row r="200" spans="1:11" ht="26.4" x14ac:dyDescent="0.3">
      <c r="A200" s="16">
        <v>199</v>
      </c>
      <c r="B200" s="21" t="s">
        <v>46</v>
      </c>
      <c r="C200" s="16" t="s">
        <v>47</v>
      </c>
      <c r="D200" s="22" t="s">
        <v>308</v>
      </c>
      <c r="E200" s="23" t="s">
        <v>105</v>
      </c>
      <c r="F200" s="16" t="s">
        <v>112</v>
      </c>
      <c r="G200" s="16" t="s">
        <v>107</v>
      </c>
      <c r="H200" s="15" t="s">
        <v>108</v>
      </c>
      <c r="I200" s="24"/>
      <c r="J200" s="15"/>
      <c r="K200" s="19"/>
    </row>
    <row r="201" spans="1:11" ht="26.4" x14ac:dyDescent="0.3">
      <c r="A201" s="16">
        <v>200</v>
      </c>
      <c r="B201" s="21" t="s">
        <v>46</v>
      </c>
      <c r="C201" s="16" t="s">
        <v>47</v>
      </c>
      <c r="D201" s="22" t="s">
        <v>309</v>
      </c>
      <c r="E201" s="23" t="s">
        <v>105</v>
      </c>
      <c r="F201" s="16" t="s">
        <v>132</v>
      </c>
      <c r="G201" s="16" t="s">
        <v>107</v>
      </c>
      <c r="H201" s="15" t="s">
        <v>108</v>
      </c>
      <c r="I201" s="24"/>
      <c r="J201" s="15"/>
      <c r="K201" s="19"/>
    </row>
    <row r="202" spans="1:11" ht="26.4" x14ac:dyDescent="0.3">
      <c r="A202" s="16">
        <v>201</v>
      </c>
      <c r="B202" s="21" t="s">
        <v>46</v>
      </c>
      <c r="C202" s="16" t="s">
        <v>47</v>
      </c>
      <c r="D202" s="22" t="s">
        <v>310</v>
      </c>
      <c r="E202" s="23" t="s">
        <v>105</v>
      </c>
      <c r="F202" s="16" t="s">
        <v>132</v>
      </c>
      <c r="G202" s="16" t="s">
        <v>107</v>
      </c>
      <c r="H202" s="15" t="s">
        <v>108</v>
      </c>
      <c r="I202" s="24"/>
      <c r="J202" s="15"/>
      <c r="K202" s="19"/>
    </row>
    <row r="203" spans="1:11" ht="26.4" x14ac:dyDescent="0.3">
      <c r="A203" s="25">
        <v>202</v>
      </c>
      <c r="B203" s="26" t="s">
        <v>46</v>
      </c>
      <c r="C203" s="25" t="s">
        <v>47</v>
      </c>
      <c r="D203" s="22" t="s">
        <v>311</v>
      </c>
      <c r="E203" s="23" t="s">
        <v>105</v>
      </c>
      <c r="F203" s="25" t="s">
        <v>112</v>
      </c>
      <c r="G203" s="25" t="s">
        <v>119</v>
      </c>
      <c r="H203" s="15" t="s">
        <v>108</v>
      </c>
      <c r="I203" s="24"/>
      <c r="J203" s="15"/>
      <c r="K203" s="19"/>
    </row>
    <row r="204" spans="1:11" ht="26.4" x14ac:dyDescent="0.3">
      <c r="A204" s="25">
        <v>203</v>
      </c>
      <c r="B204" s="26" t="s">
        <v>46</v>
      </c>
      <c r="C204" s="25" t="s">
        <v>47</v>
      </c>
      <c r="D204" s="22" t="s">
        <v>312</v>
      </c>
      <c r="E204" s="23" t="s">
        <v>105</v>
      </c>
      <c r="F204" s="25" t="s">
        <v>112</v>
      </c>
      <c r="G204" s="25" t="s">
        <v>119</v>
      </c>
      <c r="H204" s="15" t="s">
        <v>108</v>
      </c>
      <c r="I204" s="24"/>
      <c r="J204" s="15"/>
      <c r="K204" s="19"/>
    </row>
    <row r="205" spans="1:11" ht="26.4" x14ac:dyDescent="0.3">
      <c r="A205" s="25">
        <v>204</v>
      </c>
      <c r="B205" s="26" t="s">
        <v>46</v>
      </c>
      <c r="C205" s="25" t="s">
        <v>47</v>
      </c>
      <c r="D205" s="22" t="s">
        <v>313</v>
      </c>
      <c r="E205" s="23" t="s">
        <v>105</v>
      </c>
      <c r="F205" s="25" t="s">
        <v>112</v>
      </c>
      <c r="G205" s="25" t="s">
        <v>119</v>
      </c>
      <c r="H205" s="15" t="s">
        <v>108</v>
      </c>
      <c r="I205" s="24"/>
      <c r="J205" s="15"/>
      <c r="K205" s="19"/>
    </row>
    <row r="206" spans="1:11" ht="26.4" x14ac:dyDescent="0.3">
      <c r="A206" s="25">
        <v>205</v>
      </c>
      <c r="B206" s="26" t="s">
        <v>46</v>
      </c>
      <c r="C206" s="25" t="s">
        <v>47</v>
      </c>
      <c r="D206" s="22" t="s">
        <v>314</v>
      </c>
      <c r="E206" s="23" t="s">
        <v>105</v>
      </c>
      <c r="F206" s="25" t="s">
        <v>112</v>
      </c>
      <c r="G206" s="25" t="s">
        <v>119</v>
      </c>
      <c r="H206" s="15" t="s">
        <v>108</v>
      </c>
      <c r="I206" s="24"/>
      <c r="J206" s="15"/>
      <c r="K206" s="19"/>
    </row>
    <row r="207" spans="1:11" ht="26.4" x14ac:dyDescent="0.3">
      <c r="A207" s="25">
        <v>206</v>
      </c>
      <c r="B207" s="26" t="s">
        <v>46</v>
      </c>
      <c r="C207" s="25" t="s">
        <v>47</v>
      </c>
      <c r="D207" s="22" t="s">
        <v>315</v>
      </c>
      <c r="E207" s="23" t="s">
        <v>105</v>
      </c>
      <c r="F207" s="25" t="s">
        <v>112</v>
      </c>
      <c r="G207" s="25" t="s">
        <v>119</v>
      </c>
      <c r="H207" s="15" t="s">
        <v>108</v>
      </c>
      <c r="I207" s="24"/>
      <c r="J207" s="15"/>
      <c r="K207" s="19"/>
    </row>
    <row r="208" spans="1:11" x14ac:dyDescent="0.3">
      <c r="A208" s="16">
        <v>207</v>
      </c>
      <c r="B208" s="21" t="s">
        <v>49</v>
      </c>
      <c r="C208" s="16" t="s">
        <v>47</v>
      </c>
      <c r="D208" s="22" t="s">
        <v>316</v>
      </c>
      <c r="E208" s="23" t="s">
        <v>105</v>
      </c>
      <c r="F208" s="16" t="s">
        <v>112</v>
      </c>
      <c r="G208" s="16" t="s">
        <v>107</v>
      </c>
      <c r="H208" s="15" t="s">
        <v>108</v>
      </c>
      <c r="I208" s="24"/>
      <c r="J208" s="15"/>
      <c r="K208" s="19"/>
    </row>
    <row r="209" spans="1:11" x14ac:dyDescent="0.3">
      <c r="A209" s="16">
        <v>208</v>
      </c>
      <c r="B209" s="21" t="s">
        <v>49</v>
      </c>
      <c r="C209" s="16" t="s">
        <v>47</v>
      </c>
      <c r="D209" s="22" t="s">
        <v>317</v>
      </c>
      <c r="E209" s="23" t="s">
        <v>105</v>
      </c>
      <c r="F209" s="16" t="s">
        <v>112</v>
      </c>
      <c r="G209" s="16" t="s">
        <v>107</v>
      </c>
      <c r="H209" s="15" t="s">
        <v>108</v>
      </c>
      <c r="I209" s="24"/>
      <c r="J209" s="15"/>
      <c r="K209" s="19"/>
    </row>
    <row r="210" spans="1:11" x14ac:dyDescent="0.3">
      <c r="A210" s="16">
        <v>209</v>
      </c>
      <c r="B210" s="21" t="s">
        <v>49</v>
      </c>
      <c r="C210" s="16" t="s">
        <v>47</v>
      </c>
      <c r="D210" s="22" t="s">
        <v>318</v>
      </c>
      <c r="E210" s="23" t="s">
        <v>105</v>
      </c>
      <c r="F210" s="16" t="s">
        <v>112</v>
      </c>
      <c r="G210" s="16" t="s">
        <v>107</v>
      </c>
      <c r="H210" s="15" t="s">
        <v>108</v>
      </c>
      <c r="I210" s="24"/>
      <c r="J210" s="15"/>
      <c r="K210" s="19"/>
    </row>
    <row r="211" spans="1:11" x14ac:dyDescent="0.3">
      <c r="A211" s="16">
        <v>210</v>
      </c>
      <c r="B211" s="21" t="s">
        <v>49</v>
      </c>
      <c r="C211" s="16" t="s">
        <v>47</v>
      </c>
      <c r="D211" s="22" t="s">
        <v>319</v>
      </c>
      <c r="E211" s="23" t="s">
        <v>105</v>
      </c>
      <c r="F211" s="16" t="s">
        <v>112</v>
      </c>
      <c r="G211" s="16" t="s">
        <v>107</v>
      </c>
      <c r="H211" s="15" t="s">
        <v>108</v>
      </c>
      <c r="I211" s="24"/>
      <c r="J211" s="15"/>
      <c r="K211" s="19"/>
    </row>
    <row r="212" spans="1:11" x14ac:dyDescent="0.3">
      <c r="A212" s="16">
        <v>211</v>
      </c>
      <c r="B212" s="21" t="s">
        <v>49</v>
      </c>
      <c r="C212" s="16" t="s">
        <v>47</v>
      </c>
      <c r="D212" s="22" t="s">
        <v>320</v>
      </c>
      <c r="E212" s="23" t="s">
        <v>105</v>
      </c>
      <c r="F212" s="16" t="s">
        <v>112</v>
      </c>
      <c r="G212" s="16" t="s">
        <v>107</v>
      </c>
      <c r="H212" s="15" t="s">
        <v>108</v>
      </c>
      <c r="I212" s="24"/>
      <c r="J212" s="15"/>
      <c r="K212" s="19"/>
    </row>
    <row r="213" spans="1:11" x14ac:dyDescent="0.3">
      <c r="A213" s="16">
        <v>212</v>
      </c>
      <c r="B213" s="21" t="s">
        <v>49</v>
      </c>
      <c r="C213" s="16" t="s">
        <v>47</v>
      </c>
      <c r="D213" s="22" t="s">
        <v>321</v>
      </c>
      <c r="E213" s="23" t="s">
        <v>105</v>
      </c>
      <c r="F213" s="16" t="s">
        <v>112</v>
      </c>
      <c r="G213" s="16" t="s">
        <v>107</v>
      </c>
      <c r="H213" s="15" t="s">
        <v>108</v>
      </c>
      <c r="I213" s="24"/>
      <c r="J213" s="15"/>
      <c r="K213" s="19"/>
    </row>
    <row r="214" spans="1:11" x14ac:dyDescent="0.3">
      <c r="A214" s="16">
        <v>213</v>
      </c>
      <c r="B214" s="21" t="s">
        <v>49</v>
      </c>
      <c r="C214" s="16" t="s">
        <v>47</v>
      </c>
      <c r="D214" s="22" t="s">
        <v>322</v>
      </c>
      <c r="E214" s="23" t="s">
        <v>105</v>
      </c>
      <c r="F214" s="16" t="s">
        <v>112</v>
      </c>
      <c r="G214" s="16" t="s">
        <v>107</v>
      </c>
      <c r="H214" s="15" t="s">
        <v>108</v>
      </c>
      <c r="I214" s="24"/>
      <c r="J214" s="15"/>
      <c r="K214" s="19"/>
    </row>
    <row r="215" spans="1:11" x14ac:dyDescent="0.3">
      <c r="A215" s="16">
        <v>214</v>
      </c>
      <c r="B215" s="21" t="s">
        <v>49</v>
      </c>
      <c r="C215" s="16" t="s">
        <v>47</v>
      </c>
      <c r="D215" s="22" t="s">
        <v>323</v>
      </c>
      <c r="E215" s="23" t="s">
        <v>105</v>
      </c>
      <c r="F215" s="16" t="s">
        <v>112</v>
      </c>
      <c r="G215" s="16" t="s">
        <v>107</v>
      </c>
      <c r="H215" s="15" t="s">
        <v>108</v>
      </c>
      <c r="I215" s="24"/>
      <c r="J215" s="15"/>
      <c r="K215" s="19"/>
    </row>
    <row r="216" spans="1:11" x14ac:dyDescent="0.3">
      <c r="A216" s="25">
        <v>215</v>
      </c>
      <c r="B216" s="26" t="s">
        <v>49</v>
      </c>
      <c r="C216" s="25" t="s">
        <v>47</v>
      </c>
      <c r="D216" s="22" t="s">
        <v>324</v>
      </c>
      <c r="E216" s="23" t="s">
        <v>105</v>
      </c>
      <c r="F216" s="25" t="s">
        <v>106</v>
      </c>
      <c r="G216" s="25" t="s">
        <v>119</v>
      </c>
      <c r="H216" s="15" t="s">
        <v>108</v>
      </c>
      <c r="I216" s="24"/>
      <c r="J216" s="15"/>
      <c r="K216" s="19"/>
    </row>
    <row r="217" spans="1:11" x14ac:dyDescent="0.3">
      <c r="A217" s="25">
        <v>216</v>
      </c>
      <c r="B217" s="26" t="s">
        <v>49</v>
      </c>
      <c r="C217" s="25" t="s">
        <v>47</v>
      </c>
      <c r="D217" s="22" t="s">
        <v>325</v>
      </c>
      <c r="E217" s="23" t="s">
        <v>105</v>
      </c>
      <c r="F217" s="25" t="s">
        <v>112</v>
      </c>
      <c r="G217" s="25" t="s">
        <v>119</v>
      </c>
      <c r="H217" s="15" t="s">
        <v>108</v>
      </c>
      <c r="I217" s="24"/>
      <c r="J217" s="15"/>
      <c r="K217" s="19"/>
    </row>
    <row r="218" spans="1:11" x14ac:dyDescent="0.3">
      <c r="A218" s="25">
        <v>217</v>
      </c>
      <c r="B218" s="26" t="s">
        <v>49</v>
      </c>
      <c r="C218" s="25" t="s">
        <v>47</v>
      </c>
      <c r="D218" s="22" t="s">
        <v>326</v>
      </c>
      <c r="E218" s="23" t="s">
        <v>105</v>
      </c>
      <c r="F218" s="25" t="s">
        <v>112</v>
      </c>
      <c r="G218" s="25" t="s">
        <v>119</v>
      </c>
      <c r="H218" s="15" t="s">
        <v>108</v>
      </c>
      <c r="I218" s="24"/>
      <c r="J218" s="15"/>
      <c r="K218" s="19"/>
    </row>
    <row r="219" spans="1:11" x14ac:dyDescent="0.3">
      <c r="A219" s="25">
        <v>218</v>
      </c>
      <c r="B219" s="26" t="s">
        <v>49</v>
      </c>
      <c r="C219" s="25" t="s">
        <v>47</v>
      </c>
      <c r="D219" s="22" t="s">
        <v>327</v>
      </c>
      <c r="E219" s="23" t="s">
        <v>105</v>
      </c>
      <c r="F219" s="25" t="s">
        <v>112</v>
      </c>
      <c r="G219" s="25" t="s">
        <v>119</v>
      </c>
      <c r="H219" s="15" t="s">
        <v>108</v>
      </c>
      <c r="I219" s="24"/>
      <c r="J219" s="15"/>
      <c r="K219" s="19"/>
    </row>
    <row r="220" spans="1:11" x14ac:dyDescent="0.3">
      <c r="A220" s="25">
        <v>219</v>
      </c>
      <c r="B220" s="26" t="s">
        <v>49</v>
      </c>
      <c r="C220" s="25" t="s">
        <v>47</v>
      </c>
      <c r="D220" s="22" t="s">
        <v>328</v>
      </c>
      <c r="E220" s="23" t="s">
        <v>105</v>
      </c>
      <c r="F220" s="25" t="s">
        <v>112</v>
      </c>
      <c r="G220" s="25" t="s">
        <v>119</v>
      </c>
      <c r="H220" s="15" t="s">
        <v>108</v>
      </c>
      <c r="I220" s="24"/>
      <c r="J220" s="15"/>
      <c r="K220" s="19"/>
    </row>
    <row r="221" spans="1:11" x14ac:dyDescent="0.3">
      <c r="A221" s="25">
        <v>220</v>
      </c>
      <c r="B221" s="26" t="s">
        <v>49</v>
      </c>
      <c r="C221" s="25" t="s">
        <v>47</v>
      </c>
      <c r="D221" s="22" t="s">
        <v>329</v>
      </c>
      <c r="E221" s="23" t="s">
        <v>105</v>
      </c>
      <c r="F221" s="25" t="s">
        <v>132</v>
      </c>
      <c r="G221" s="25" t="s">
        <v>119</v>
      </c>
      <c r="H221" s="15" t="s">
        <v>108</v>
      </c>
      <c r="I221" s="24"/>
      <c r="J221" s="15"/>
      <c r="K221" s="19"/>
    </row>
    <row r="222" spans="1:11" x14ac:dyDescent="0.3">
      <c r="A222" s="16">
        <v>221</v>
      </c>
      <c r="B222" s="21" t="s">
        <v>51</v>
      </c>
      <c r="C222" s="16" t="s">
        <v>47</v>
      </c>
      <c r="D222" s="22" t="s">
        <v>330</v>
      </c>
      <c r="E222" s="23" t="s">
        <v>105</v>
      </c>
      <c r="F222" s="16" t="s">
        <v>112</v>
      </c>
      <c r="G222" s="16" t="s">
        <v>107</v>
      </c>
      <c r="H222" s="15" t="s">
        <v>108</v>
      </c>
      <c r="I222" s="24"/>
      <c r="J222" s="15"/>
      <c r="K222" s="19"/>
    </row>
    <row r="223" spans="1:11" x14ac:dyDescent="0.3">
      <c r="A223" s="16">
        <v>222</v>
      </c>
      <c r="B223" s="21" t="s">
        <v>51</v>
      </c>
      <c r="C223" s="16" t="s">
        <v>47</v>
      </c>
      <c r="D223" s="22" t="s">
        <v>331</v>
      </c>
      <c r="E223" s="23" t="s">
        <v>105</v>
      </c>
      <c r="F223" s="16" t="s">
        <v>112</v>
      </c>
      <c r="G223" s="16" t="s">
        <v>107</v>
      </c>
      <c r="H223" s="15" t="s">
        <v>108</v>
      </c>
      <c r="I223" s="24"/>
      <c r="J223" s="15"/>
      <c r="K223" s="19"/>
    </row>
    <row r="224" spans="1:11" x14ac:dyDescent="0.3">
      <c r="A224" s="16">
        <v>223</v>
      </c>
      <c r="B224" s="21" t="s">
        <v>51</v>
      </c>
      <c r="C224" s="16" t="s">
        <v>47</v>
      </c>
      <c r="D224" s="22" t="s">
        <v>332</v>
      </c>
      <c r="E224" s="23" t="s">
        <v>105</v>
      </c>
      <c r="F224" s="16" t="s">
        <v>112</v>
      </c>
      <c r="G224" s="16" t="s">
        <v>107</v>
      </c>
      <c r="H224" s="15" t="s">
        <v>108</v>
      </c>
      <c r="I224" s="24"/>
      <c r="J224" s="15"/>
      <c r="K224" s="19"/>
    </row>
    <row r="225" spans="1:11" x14ac:dyDescent="0.3">
      <c r="A225" s="16">
        <v>224</v>
      </c>
      <c r="B225" s="21" t="s">
        <v>51</v>
      </c>
      <c r="C225" s="16" t="s">
        <v>47</v>
      </c>
      <c r="D225" s="22" t="s">
        <v>333</v>
      </c>
      <c r="E225" s="23" t="s">
        <v>105</v>
      </c>
      <c r="F225" s="16" t="s">
        <v>106</v>
      </c>
      <c r="G225" s="16" t="s">
        <v>107</v>
      </c>
      <c r="H225" s="15" t="s">
        <v>108</v>
      </c>
      <c r="I225" s="24"/>
      <c r="J225" s="15"/>
      <c r="K225" s="19"/>
    </row>
    <row r="226" spans="1:11" x14ac:dyDescent="0.3">
      <c r="A226" s="16">
        <v>225</v>
      </c>
      <c r="B226" s="21" t="s">
        <v>51</v>
      </c>
      <c r="C226" s="16" t="s">
        <v>47</v>
      </c>
      <c r="D226" s="22" t="s">
        <v>334</v>
      </c>
      <c r="E226" s="23" t="s">
        <v>105</v>
      </c>
      <c r="F226" s="16" t="s">
        <v>112</v>
      </c>
      <c r="G226" s="16" t="s">
        <v>107</v>
      </c>
      <c r="H226" s="15" t="s">
        <v>108</v>
      </c>
      <c r="I226" s="24"/>
      <c r="J226" s="15"/>
      <c r="K226" s="19"/>
    </row>
    <row r="227" spans="1:11" x14ac:dyDescent="0.3">
      <c r="A227" s="16">
        <v>226</v>
      </c>
      <c r="B227" s="21" t="s">
        <v>51</v>
      </c>
      <c r="C227" s="16" t="s">
        <v>47</v>
      </c>
      <c r="D227" s="22" t="s">
        <v>335</v>
      </c>
      <c r="E227" s="23" t="s">
        <v>105</v>
      </c>
      <c r="F227" s="16" t="s">
        <v>132</v>
      </c>
      <c r="G227" s="16" t="s">
        <v>107</v>
      </c>
      <c r="H227" s="15" t="s">
        <v>108</v>
      </c>
      <c r="I227" s="24"/>
      <c r="J227" s="15"/>
      <c r="K227" s="19"/>
    </row>
    <row r="228" spans="1:11" x14ac:dyDescent="0.3">
      <c r="A228" s="25">
        <v>227</v>
      </c>
      <c r="B228" s="26" t="s">
        <v>51</v>
      </c>
      <c r="C228" s="25" t="s">
        <v>47</v>
      </c>
      <c r="D228" s="22" t="s">
        <v>336</v>
      </c>
      <c r="E228" s="23" t="s">
        <v>105</v>
      </c>
      <c r="F228" s="25" t="s">
        <v>132</v>
      </c>
      <c r="G228" s="25" t="s">
        <v>119</v>
      </c>
      <c r="H228" s="15" t="s">
        <v>108</v>
      </c>
      <c r="I228" s="24"/>
      <c r="J228" s="15"/>
      <c r="K228" s="19"/>
    </row>
    <row r="229" spans="1:11" x14ac:dyDescent="0.3">
      <c r="A229" s="16">
        <v>228</v>
      </c>
      <c r="B229" s="21" t="s">
        <v>53</v>
      </c>
      <c r="C229" s="16" t="s">
        <v>54</v>
      </c>
      <c r="D229" s="22" t="s">
        <v>337</v>
      </c>
      <c r="E229" s="23" t="s">
        <v>105</v>
      </c>
      <c r="F229" s="16" t="s">
        <v>112</v>
      </c>
      <c r="G229" s="16" t="s">
        <v>107</v>
      </c>
      <c r="H229" s="15" t="s">
        <v>108</v>
      </c>
      <c r="I229" s="24"/>
      <c r="J229" s="15"/>
      <c r="K229" s="19"/>
    </row>
    <row r="230" spans="1:11" x14ac:dyDescent="0.3">
      <c r="A230" s="16">
        <v>229</v>
      </c>
      <c r="B230" s="21" t="s">
        <v>53</v>
      </c>
      <c r="C230" s="16" t="s">
        <v>54</v>
      </c>
      <c r="D230" s="22" t="s">
        <v>338</v>
      </c>
      <c r="E230" s="23" t="s">
        <v>105</v>
      </c>
      <c r="F230" s="16" t="s">
        <v>112</v>
      </c>
      <c r="G230" s="16" t="s">
        <v>107</v>
      </c>
      <c r="H230" s="15" t="s">
        <v>108</v>
      </c>
      <c r="I230" s="24"/>
      <c r="J230" s="15"/>
      <c r="K230" s="19"/>
    </row>
    <row r="231" spans="1:11" x14ac:dyDescent="0.3">
      <c r="A231" s="16">
        <v>230</v>
      </c>
      <c r="B231" s="21" t="s">
        <v>53</v>
      </c>
      <c r="C231" s="16" t="s">
        <v>54</v>
      </c>
      <c r="D231" s="22" t="s">
        <v>339</v>
      </c>
      <c r="E231" s="23" t="s">
        <v>105</v>
      </c>
      <c r="F231" s="16" t="s">
        <v>112</v>
      </c>
      <c r="G231" s="16" t="s">
        <v>107</v>
      </c>
      <c r="H231" s="15" t="s">
        <v>108</v>
      </c>
      <c r="I231" s="24"/>
      <c r="J231" s="15"/>
      <c r="K231" s="19"/>
    </row>
    <row r="232" spans="1:11" x14ac:dyDescent="0.3">
      <c r="A232" s="16">
        <v>231</v>
      </c>
      <c r="B232" s="21" t="s">
        <v>53</v>
      </c>
      <c r="C232" s="16" t="s">
        <v>54</v>
      </c>
      <c r="D232" s="22" t="s">
        <v>340</v>
      </c>
      <c r="E232" s="23" t="s">
        <v>105</v>
      </c>
      <c r="F232" s="16" t="s">
        <v>106</v>
      </c>
      <c r="G232" s="16" t="s">
        <v>107</v>
      </c>
      <c r="H232" s="15" t="s">
        <v>108</v>
      </c>
      <c r="I232" s="24"/>
      <c r="J232" s="15"/>
      <c r="K232" s="19"/>
    </row>
    <row r="233" spans="1:11" x14ac:dyDescent="0.3">
      <c r="A233" s="16">
        <v>232</v>
      </c>
      <c r="B233" s="21" t="s">
        <v>53</v>
      </c>
      <c r="C233" s="16" t="s">
        <v>54</v>
      </c>
      <c r="D233" s="22" t="s">
        <v>341</v>
      </c>
      <c r="E233" s="23" t="s">
        <v>105</v>
      </c>
      <c r="F233" s="16" t="s">
        <v>106</v>
      </c>
      <c r="G233" s="16" t="s">
        <v>107</v>
      </c>
      <c r="H233" s="15" t="s">
        <v>108</v>
      </c>
      <c r="I233" s="24"/>
      <c r="J233" s="15"/>
      <c r="K233" s="19"/>
    </row>
    <row r="234" spans="1:11" x14ac:dyDescent="0.3">
      <c r="A234" s="16">
        <v>233</v>
      </c>
      <c r="B234" s="21" t="s">
        <v>53</v>
      </c>
      <c r="C234" s="16" t="s">
        <v>54</v>
      </c>
      <c r="D234" s="22" t="s">
        <v>342</v>
      </c>
      <c r="E234" s="23" t="s">
        <v>105</v>
      </c>
      <c r="F234" s="16" t="s">
        <v>112</v>
      </c>
      <c r="G234" s="16" t="s">
        <v>107</v>
      </c>
      <c r="H234" s="15" t="s">
        <v>108</v>
      </c>
      <c r="I234" s="24"/>
      <c r="J234" s="15"/>
      <c r="K234" s="19"/>
    </row>
    <row r="235" spans="1:11" x14ac:dyDescent="0.3">
      <c r="A235" s="16">
        <v>234</v>
      </c>
      <c r="B235" s="21" t="s">
        <v>53</v>
      </c>
      <c r="C235" s="16" t="s">
        <v>54</v>
      </c>
      <c r="D235" s="22" t="s">
        <v>343</v>
      </c>
      <c r="E235" s="23" t="s">
        <v>105</v>
      </c>
      <c r="F235" s="16" t="s">
        <v>112</v>
      </c>
      <c r="G235" s="16" t="s">
        <v>107</v>
      </c>
      <c r="H235" s="15" t="s">
        <v>108</v>
      </c>
      <c r="I235" s="24"/>
      <c r="J235" s="15"/>
      <c r="K235" s="19"/>
    </row>
    <row r="236" spans="1:11" x14ac:dyDescent="0.3">
      <c r="A236" s="16">
        <v>235</v>
      </c>
      <c r="B236" s="21" t="s">
        <v>53</v>
      </c>
      <c r="C236" s="16" t="s">
        <v>54</v>
      </c>
      <c r="D236" s="22" t="s">
        <v>344</v>
      </c>
      <c r="E236" s="23" t="s">
        <v>105</v>
      </c>
      <c r="F236" s="16" t="s">
        <v>112</v>
      </c>
      <c r="G236" s="16" t="s">
        <v>107</v>
      </c>
      <c r="H236" s="15" t="s">
        <v>108</v>
      </c>
      <c r="I236" s="24"/>
      <c r="J236" s="15"/>
      <c r="K236" s="19"/>
    </row>
    <row r="237" spans="1:11" x14ac:dyDescent="0.3">
      <c r="A237" s="25">
        <v>236</v>
      </c>
      <c r="B237" s="26" t="s">
        <v>53</v>
      </c>
      <c r="C237" s="25" t="s">
        <v>54</v>
      </c>
      <c r="D237" s="22" t="s">
        <v>345</v>
      </c>
      <c r="E237" s="23" t="s">
        <v>105</v>
      </c>
      <c r="F237" s="25" t="s">
        <v>106</v>
      </c>
      <c r="G237" s="25" t="s">
        <v>119</v>
      </c>
      <c r="H237" s="15" t="s">
        <v>108</v>
      </c>
      <c r="I237" s="24"/>
      <c r="J237" s="15"/>
      <c r="K237" s="19"/>
    </row>
    <row r="238" spans="1:11" x14ac:dyDescent="0.3">
      <c r="A238" s="25">
        <v>237</v>
      </c>
      <c r="B238" s="26" t="s">
        <v>53</v>
      </c>
      <c r="C238" s="25" t="s">
        <v>54</v>
      </c>
      <c r="D238" s="22" t="s">
        <v>346</v>
      </c>
      <c r="E238" s="23" t="s">
        <v>105</v>
      </c>
      <c r="F238" s="25" t="s">
        <v>106</v>
      </c>
      <c r="G238" s="25" t="s">
        <v>119</v>
      </c>
      <c r="H238" s="15" t="s">
        <v>108</v>
      </c>
      <c r="I238" s="24"/>
      <c r="J238" s="15"/>
      <c r="K238" s="19"/>
    </row>
    <row r="239" spans="1:11" x14ac:dyDescent="0.3">
      <c r="A239" s="25">
        <v>238</v>
      </c>
      <c r="B239" s="26" t="s">
        <v>53</v>
      </c>
      <c r="C239" s="25" t="s">
        <v>54</v>
      </c>
      <c r="D239" s="22" t="s">
        <v>347</v>
      </c>
      <c r="E239" s="23" t="s">
        <v>105</v>
      </c>
      <c r="F239" s="25" t="s">
        <v>112</v>
      </c>
      <c r="G239" s="25" t="s">
        <v>119</v>
      </c>
      <c r="H239" s="15" t="s">
        <v>108</v>
      </c>
      <c r="I239" s="24"/>
      <c r="J239" s="15"/>
      <c r="K239" s="19"/>
    </row>
    <row r="240" spans="1:11" x14ac:dyDescent="0.3">
      <c r="A240" s="25">
        <v>239</v>
      </c>
      <c r="B240" s="26" t="s">
        <v>53</v>
      </c>
      <c r="C240" s="25" t="s">
        <v>54</v>
      </c>
      <c r="D240" s="22" t="s">
        <v>348</v>
      </c>
      <c r="E240" s="23" t="s">
        <v>105</v>
      </c>
      <c r="F240" s="25" t="s">
        <v>106</v>
      </c>
      <c r="G240" s="25" t="s">
        <v>119</v>
      </c>
      <c r="H240" s="15" t="s">
        <v>108</v>
      </c>
      <c r="I240" s="24"/>
      <c r="J240" s="15"/>
      <c r="K240" s="19"/>
    </row>
    <row r="241" spans="1:11" x14ac:dyDescent="0.3">
      <c r="A241" s="25">
        <v>240</v>
      </c>
      <c r="B241" s="26" t="s">
        <v>53</v>
      </c>
      <c r="C241" s="25" t="s">
        <v>54</v>
      </c>
      <c r="D241" s="22" t="s">
        <v>349</v>
      </c>
      <c r="E241" s="23" t="s">
        <v>105</v>
      </c>
      <c r="F241" s="25" t="s">
        <v>106</v>
      </c>
      <c r="G241" s="25" t="s">
        <v>119</v>
      </c>
      <c r="H241" s="15" t="s">
        <v>108</v>
      </c>
      <c r="I241" s="24"/>
      <c r="J241" s="15"/>
      <c r="K241" s="19"/>
    </row>
    <row r="242" spans="1:11" x14ac:dyDescent="0.3">
      <c r="A242" s="16">
        <v>241</v>
      </c>
      <c r="B242" s="21" t="s">
        <v>56</v>
      </c>
      <c r="C242" s="16" t="s">
        <v>54</v>
      </c>
      <c r="D242" s="22" t="s">
        <v>350</v>
      </c>
      <c r="E242" s="23" t="s">
        <v>105</v>
      </c>
      <c r="F242" s="16" t="s">
        <v>106</v>
      </c>
      <c r="G242" s="16" t="s">
        <v>107</v>
      </c>
      <c r="H242" s="15" t="s">
        <v>108</v>
      </c>
      <c r="I242" s="24"/>
      <c r="J242" s="15"/>
      <c r="K242" s="19"/>
    </row>
    <row r="243" spans="1:11" x14ac:dyDescent="0.3">
      <c r="A243" s="16">
        <v>242</v>
      </c>
      <c r="B243" s="21" t="s">
        <v>56</v>
      </c>
      <c r="C243" s="16" t="s">
        <v>54</v>
      </c>
      <c r="D243" s="22" t="s">
        <v>351</v>
      </c>
      <c r="E243" s="23" t="s">
        <v>105</v>
      </c>
      <c r="F243" s="16" t="s">
        <v>106</v>
      </c>
      <c r="G243" s="16" t="s">
        <v>107</v>
      </c>
      <c r="H243" s="15" t="s">
        <v>108</v>
      </c>
      <c r="I243" s="24"/>
      <c r="J243" s="15"/>
      <c r="K243" s="19"/>
    </row>
    <row r="244" spans="1:11" x14ac:dyDescent="0.3">
      <c r="A244" s="16">
        <v>243</v>
      </c>
      <c r="B244" s="21" t="s">
        <v>56</v>
      </c>
      <c r="C244" s="16" t="s">
        <v>54</v>
      </c>
      <c r="D244" s="22" t="s">
        <v>352</v>
      </c>
      <c r="E244" s="23" t="s">
        <v>105</v>
      </c>
      <c r="F244" s="16" t="s">
        <v>106</v>
      </c>
      <c r="G244" s="16" t="s">
        <v>107</v>
      </c>
      <c r="H244" s="15" t="s">
        <v>108</v>
      </c>
      <c r="I244" s="24"/>
      <c r="J244" s="15"/>
      <c r="K244" s="19"/>
    </row>
    <row r="245" spans="1:11" x14ac:dyDescent="0.3">
      <c r="A245" s="16">
        <v>244</v>
      </c>
      <c r="B245" s="21" t="s">
        <v>56</v>
      </c>
      <c r="C245" s="16" t="s">
        <v>54</v>
      </c>
      <c r="D245" s="22" t="s">
        <v>353</v>
      </c>
      <c r="E245" s="23" t="s">
        <v>105</v>
      </c>
      <c r="F245" s="16" t="s">
        <v>106</v>
      </c>
      <c r="G245" s="16" t="s">
        <v>107</v>
      </c>
      <c r="H245" s="15" t="s">
        <v>108</v>
      </c>
      <c r="I245" s="24"/>
      <c r="J245" s="15"/>
      <c r="K245" s="19"/>
    </row>
    <row r="246" spans="1:11" x14ac:dyDescent="0.3">
      <c r="A246" s="16">
        <v>245</v>
      </c>
      <c r="B246" s="21" t="s">
        <v>56</v>
      </c>
      <c r="C246" s="16" t="s">
        <v>54</v>
      </c>
      <c r="D246" s="22" t="s">
        <v>354</v>
      </c>
      <c r="E246" s="23" t="s">
        <v>105</v>
      </c>
      <c r="F246" s="16" t="s">
        <v>106</v>
      </c>
      <c r="G246" s="16" t="s">
        <v>107</v>
      </c>
      <c r="H246" s="15" t="s">
        <v>108</v>
      </c>
      <c r="I246" s="24"/>
      <c r="J246" s="15"/>
      <c r="K246" s="19"/>
    </row>
    <row r="247" spans="1:11" x14ac:dyDescent="0.3">
      <c r="A247" s="16">
        <v>246</v>
      </c>
      <c r="B247" s="21" t="s">
        <v>56</v>
      </c>
      <c r="C247" s="16" t="s">
        <v>54</v>
      </c>
      <c r="D247" s="22" t="s">
        <v>355</v>
      </c>
      <c r="E247" s="23" t="s">
        <v>105</v>
      </c>
      <c r="F247" s="16" t="s">
        <v>112</v>
      </c>
      <c r="G247" s="16" t="s">
        <v>107</v>
      </c>
      <c r="H247" s="15" t="s">
        <v>108</v>
      </c>
      <c r="I247" s="24"/>
      <c r="J247" s="15"/>
      <c r="K247" s="19"/>
    </row>
    <row r="248" spans="1:11" x14ac:dyDescent="0.3">
      <c r="A248" s="16">
        <v>247</v>
      </c>
      <c r="B248" s="21" t="s">
        <v>56</v>
      </c>
      <c r="C248" s="16" t="s">
        <v>54</v>
      </c>
      <c r="D248" s="22" t="s">
        <v>356</v>
      </c>
      <c r="E248" s="23" t="s">
        <v>105</v>
      </c>
      <c r="F248" s="16" t="s">
        <v>112</v>
      </c>
      <c r="G248" s="16" t="s">
        <v>107</v>
      </c>
      <c r="H248" s="15" t="s">
        <v>108</v>
      </c>
      <c r="I248" s="24"/>
      <c r="J248" s="15"/>
      <c r="K248" s="19"/>
    </row>
    <row r="249" spans="1:11" x14ac:dyDescent="0.3">
      <c r="A249" s="25">
        <v>248</v>
      </c>
      <c r="B249" s="26" t="s">
        <v>56</v>
      </c>
      <c r="C249" s="25" t="s">
        <v>54</v>
      </c>
      <c r="D249" s="22" t="s">
        <v>357</v>
      </c>
      <c r="E249" s="23" t="s">
        <v>105</v>
      </c>
      <c r="F249" s="25" t="s">
        <v>106</v>
      </c>
      <c r="G249" s="25" t="s">
        <v>119</v>
      </c>
      <c r="H249" s="15" t="s">
        <v>108</v>
      </c>
      <c r="I249" s="24"/>
      <c r="J249" s="15"/>
      <c r="K249" s="19"/>
    </row>
    <row r="250" spans="1:11" x14ac:dyDescent="0.3">
      <c r="A250" s="25">
        <v>249</v>
      </c>
      <c r="B250" s="26" t="s">
        <v>56</v>
      </c>
      <c r="C250" s="25" t="s">
        <v>54</v>
      </c>
      <c r="D250" s="22" t="s">
        <v>358</v>
      </c>
      <c r="E250" s="23" t="s">
        <v>105</v>
      </c>
      <c r="F250" s="25" t="s">
        <v>112</v>
      </c>
      <c r="G250" s="25" t="s">
        <v>119</v>
      </c>
      <c r="H250" s="15" t="s">
        <v>108</v>
      </c>
      <c r="I250" s="24"/>
      <c r="J250" s="15"/>
      <c r="K250" s="19"/>
    </row>
    <row r="251" spans="1:11" x14ac:dyDescent="0.3">
      <c r="A251" s="25">
        <v>250</v>
      </c>
      <c r="B251" s="26" t="s">
        <v>56</v>
      </c>
      <c r="C251" s="25" t="s">
        <v>54</v>
      </c>
      <c r="D251" s="22" t="s">
        <v>359</v>
      </c>
      <c r="E251" s="23" t="s">
        <v>105</v>
      </c>
      <c r="F251" s="25" t="s">
        <v>112</v>
      </c>
      <c r="G251" s="25" t="s">
        <v>119</v>
      </c>
      <c r="H251" s="15" t="s">
        <v>108</v>
      </c>
      <c r="I251" s="24"/>
      <c r="J251" s="15"/>
      <c r="K251" s="19"/>
    </row>
  </sheetData>
  <autoFilter ref="A1:K251" xr:uid="{00000000-0009-0000-0000-000002000000}"/>
  <conditionalFormatting sqref="F2:F251">
    <cfRule type="cellIs" dxfId="5" priority="4" operator="equal">
      <formula>"Hard"</formula>
    </cfRule>
  </conditionalFormatting>
  <conditionalFormatting sqref="H2:H251">
    <cfRule type="cellIs" dxfId="4" priority="2" operator="equal">
      <formula>"Solved"</formula>
    </cfRule>
    <cfRule type="cellIs" dxfId="3" priority="3" operator="equal">
      <formula>"Revisit"</formula>
    </cfRule>
  </conditionalFormatting>
  <dataValidations count="3">
    <dataValidation type="list" allowBlank="1" sqref="H2:H251" xr:uid="{00000000-0002-0000-0200-000000000000}">
      <formula1>"Not started,Solved,Revisit"</formula1>
      <formula2>0</formula2>
    </dataValidation>
    <dataValidation type="list" allowBlank="1" sqref="J2:J251" xr:uid="{00000000-0002-0000-0200-000001000000}">
      <formula1>"Yes,No"</formula1>
      <formula2>0</formula2>
    </dataValidation>
    <dataValidation type="date" operator="greaterThan" allowBlank="1" sqref="I2:I251" xr:uid="{00000000-0002-0000-0200-000002000000}">
      <formula1>DATE(2026,1,1)</formula1>
      <formula2>0</formula2>
    </dataValidation>
  </dataValidations>
  <hyperlinks>
    <hyperlink ref="D2" r:id="rId1" xr:uid="{00000000-0004-0000-0200-000000000000}"/>
    <hyperlink ref="E2" r:id="rId2" xr:uid="{00000000-0004-0000-0200-000001000000}"/>
    <hyperlink ref="D3" r:id="rId3" xr:uid="{00000000-0004-0000-0200-000002000000}"/>
    <hyperlink ref="E3" r:id="rId4" xr:uid="{00000000-0004-0000-0200-000003000000}"/>
    <hyperlink ref="D4" r:id="rId5" xr:uid="{00000000-0004-0000-0200-000004000000}"/>
    <hyperlink ref="E4" r:id="rId6" xr:uid="{00000000-0004-0000-0200-000005000000}"/>
    <hyperlink ref="D5" r:id="rId7" xr:uid="{00000000-0004-0000-0200-000006000000}"/>
    <hyperlink ref="E5" r:id="rId8" xr:uid="{00000000-0004-0000-0200-000007000000}"/>
    <hyperlink ref="D6" r:id="rId9" xr:uid="{00000000-0004-0000-0200-000008000000}"/>
    <hyperlink ref="E6" r:id="rId10" xr:uid="{00000000-0004-0000-0200-000009000000}"/>
    <hyperlink ref="D7" r:id="rId11" xr:uid="{00000000-0004-0000-0200-00000A000000}"/>
    <hyperlink ref="E7" r:id="rId12" xr:uid="{00000000-0004-0000-0200-00000B000000}"/>
    <hyperlink ref="D8" r:id="rId13" xr:uid="{00000000-0004-0000-0200-00000C000000}"/>
    <hyperlink ref="E8" r:id="rId14" xr:uid="{00000000-0004-0000-0200-00000D000000}"/>
    <hyperlink ref="D9" r:id="rId15" xr:uid="{00000000-0004-0000-0200-00000E000000}"/>
    <hyperlink ref="E9" r:id="rId16" xr:uid="{00000000-0004-0000-0200-00000F000000}"/>
    <hyperlink ref="D10" r:id="rId17" xr:uid="{00000000-0004-0000-0200-000010000000}"/>
    <hyperlink ref="E10" r:id="rId18" xr:uid="{00000000-0004-0000-0200-000011000000}"/>
    <hyperlink ref="D11" r:id="rId19" xr:uid="{00000000-0004-0000-0200-000012000000}"/>
    <hyperlink ref="E11" r:id="rId20" xr:uid="{00000000-0004-0000-0200-000013000000}"/>
    <hyperlink ref="D12" r:id="rId21" xr:uid="{00000000-0004-0000-0200-000014000000}"/>
    <hyperlink ref="E12" r:id="rId22" xr:uid="{00000000-0004-0000-0200-000015000000}"/>
    <hyperlink ref="D13" r:id="rId23" xr:uid="{00000000-0004-0000-0200-000016000000}"/>
    <hyperlink ref="E13" r:id="rId24" xr:uid="{00000000-0004-0000-0200-000017000000}"/>
    <hyperlink ref="D14" r:id="rId25" xr:uid="{00000000-0004-0000-0200-000018000000}"/>
    <hyperlink ref="E14" r:id="rId26" xr:uid="{00000000-0004-0000-0200-000019000000}"/>
    <hyperlink ref="D15" r:id="rId27" xr:uid="{00000000-0004-0000-0200-00001A000000}"/>
    <hyperlink ref="E15" r:id="rId28" xr:uid="{00000000-0004-0000-0200-00001B000000}"/>
    <hyperlink ref="D16" r:id="rId29" xr:uid="{00000000-0004-0000-0200-00001C000000}"/>
    <hyperlink ref="E16" r:id="rId30" xr:uid="{00000000-0004-0000-0200-00001D000000}"/>
    <hyperlink ref="D17" r:id="rId31" xr:uid="{00000000-0004-0000-0200-00001E000000}"/>
    <hyperlink ref="E17" r:id="rId32" xr:uid="{00000000-0004-0000-0200-00001F000000}"/>
    <hyperlink ref="D18" r:id="rId33" xr:uid="{00000000-0004-0000-0200-000020000000}"/>
    <hyperlink ref="E18" r:id="rId34" xr:uid="{00000000-0004-0000-0200-000021000000}"/>
    <hyperlink ref="D19" r:id="rId35" xr:uid="{00000000-0004-0000-0200-000022000000}"/>
    <hyperlink ref="E19" r:id="rId36" xr:uid="{00000000-0004-0000-0200-000023000000}"/>
    <hyperlink ref="D20" r:id="rId37" xr:uid="{00000000-0004-0000-0200-000024000000}"/>
    <hyperlink ref="E20" r:id="rId38" xr:uid="{00000000-0004-0000-0200-000025000000}"/>
    <hyperlink ref="D21" r:id="rId39" xr:uid="{00000000-0004-0000-0200-000026000000}"/>
    <hyperlink ref="E21" r:id="rId40" xr:uid="{00000000-0004-0000-0200-000027000000}"/>
    <hyperlink ref="D22" r:id="rId41" xr:uid="{00000000-0004-0000-0200-000028000000}"/>
    <hyperlink ref="E22" r:id="rId42" xr:uid="{00000000-0004-0000-0200-000029000000}"/>
    <hyperlink ref="D23" r:id="rId43" xr:uid="{00000000-0004-0000-0200-00002A000000}"/>
    <hyperlink ref="E23" r:id="rId44" xr:uid="{00000000-0004-0000-0200-00002B000000}"/>
    <hyperlink ref="D24" r:id="rId45" xr:uid="{00000000-0004-0000-0200-00002C000000}"/>
    <hyperlink ref="E24" r:id="rId46" xr:uid="{00000000-0004-0000-0200-00002D000000}"/>
    <hyperlink ref="D25" r:id="rId47" xr:uid="{00000000-0004-0000-0200-00002E000000}"/>
    <hyperlink ref="E25" r:id="rId48" xr:uid="{00000000-0004-0000-0200-00002F000000}"/>
    <hyperlink ref="D26" r:id="rId49" xr:uid="{00000000-0004-0000-0200-000030000000}"/>
    <hyperlink ref="E26" r:id="rId50" xr:uid="{00000000-0004-0000-0200-000031000000}"/>
    <hyperlink ref="D27" r:id="rId51" xr:uid="{00000000-0004-0000-0200-000032000000}"/>
    <hyperlink ref="E27" r:id="rId52" xr:uid="{00000000-0004-0000-0200-000033000000}"/>
    <hyperlink ref="D28" r:id="rId53" xr:uid="{00000000-0004-0000-0200-000034000000}"/>
    <hyperlink ref="E28" r:id="rId54" xr:uid="{00000000-0004-0000-0200-000035000000}"/>
    <hyperlink ref="D29" r:id="rId55" xr:uid="{00000000-0004-0000-0200-000036000000}"/>
    <hyperlink ref="E29" r:id="rId56" xr:uid="{00000000-0004-0000-0200-000037000000}"/>
    <hyperlink ref="D30" r:id="rId57" xr:uid="{00000000-0004-0000-0200-000038000000}"/>
    <hyperlink ref="E30" r:id="rId58" xr:uid="{00000000-0004-0000-0200-000039000000}"/>
    <hyperlink ref="D31" r:id="rId59" xr:uid="{00000000-0004-0000-0200-00003A000000}"/>
    <hyperlink ref="E31" r:id="rId60" xr:uid="{00000000-0004-0000-0200-00003B000000}"/>
    <hyperlink ref="D32" r:id="rId61" xr:uid="{00000000-0004-0000-0200-00003C000000}"/>
    <hyperlink ref="E32" r:id="rId62" xr:uid="{00000000-0004-0000-0200-00003D000000}"/>
    <hyperlink ref="D33" r:id="rId63" xr:uid="{00000000-0004-0000-0200-00003E000000}"/>
    <hyperlink ref="E33" r:id="rId64" xr:uid="{00000000-0004-0000-0200-00003F000000}"/>
    <hyperlink ref="D34" r:id="rId65" xr:uid="{00000000-0004-0000-0200-000040000000}"/>
    <hyperlink ref="E34" r:id="rId66" xr:uid="{00000000-0004-0000-0200-000041000000}"/>
    <hyperlink ref="D35" r:id="rId67" xr:uid="{00000000-0004-0000-0200-000042000000}"/>
    <hyperlink ref="E35" r:id="rId68" xr:uid="{00000000-0004-0000-0200-000043000000}"/>
    <hyperlink ref="D36" r:id="rId69" xr:uid="{00000000-0004-0000-0200-000044000000}"/>
    <hyperlink ref="E36" r:id="rId70" xr:uid="{00000000-0004-0000-0200-000045000000}"/>
    <hyperlink ref="D37" r:id="rId71" xr:uid="{00000000-0004-0000-0200-000046000000}"/>
    <hyperlink ref="E37" r:id="rId72" xr:uid="{00000000-0004-0000-0200-000047000000}"/>
    <hyperlink ref="D38" r:id="rId73" xr:uid="{00000000-0004-0000-0200-000048000000}"/>
    <hyperlink ref="E38" r:id="rId74" xr:uid="{00000000-0004-0000-0200-000049000000}"/>
    <hyperlink ref="D39" r:id="rId75" xr:uid="{00000000-0004-0000-0200-00004A000000}"/>
    <hyperlink ref="E39" r:id="rId76" xr:uid="{00000000-0004-0000-0200-00004B000000}"/>
    <hyperlink ref="D40" r:id="rId77" xr:uid="{00000000-0004-0000-0200-00004C000000}"/>
    <hyperlink ref="E40" r:id="rId78" xr:uid="{00000000-0004-0000-0200-00004D000000}"/>
    <hyperlink ref="D41" r:id="rId79" xr:uid="{00000000-0004-0000-0200-00004E000000}"/>
    <hyperlink ref="E41" r:id="rId80" xr:uid="{00000000-0004-0000-0200-00004F000000}"/>
    <hyperlink ref="D42" r:id="rId81" xr:uid="{00000000-0004-0000-0200-000050000000}"/>
    <hyperlink ref="E42" r:id="rId82" xr:uid="{00000000-0004-0000-0200-000051000000}"/>
    <hyperlink ref="D43" r:id="rId83" xr:uid="{00000000-0004-0000-0200-000052000000}"/>
    <hyperlink ref="E43" r:id="rId84" xr:uid="{00000000-0004-0000-0200-000053000000}"/>
    <hyperlink ref="D44" r:id="rId85" xr:uid="{00000000-0004-0000-0200-000054000000}"/>
    <hyperlink ref="E44" r:id="rId86" xr:uid="{00000000-0004-0000-0200-000055000000}"/>
    <hyperlink ref="D45" r:id="rId87" xr:uid="{00000000-0004-0000-0200-000056000000}"/>
    <hyperlink ref="E45" r:id="rId88" xr:uid="{00000000-0004-0000-0200-000057000000}"/>
    <hyperlink ref="D46" r:id="rId89" xr:uid="{00000000-0004-0000-0200-000058000000}"/>
    <hyperlink ref="E46" r:id="rId90" xr:uid="{00000000-0004-0000-0200-000059000000}"/>
    <hyperlink ref="D47" r:id="rId91" xr:uid="{00000000-0004-0000-0200-00005A000000}"/>
    <hyperlink ref="E47" r:id="rId92" xr:uid="{00000000-0004-0000-0200-00005B000000}"/>
    <hyperlink ref="D48" r:id="rId93" xr:uid="{00000000-0004-0000-0200-00005C000000}"/>
    <hyperlink ref="E48" r:id="rId94" xr:uid="{00000000-0004-0000-0200-00005D000000}"/>
    <hyperlink ref="D49" r:id="rId95" xr:uid="{00000000-0004-0000-0200-00005E000000}"/>
    <hyperlink ref="E49" r:id="rId96" xr:uid="{00000000-0004-0000-0200-00005F000000}"/>
    <hyperlink ref="D50" r:id="rId97" xr:uid="{00000000-0004-0000-0200-000060000000}"/>
    <hyperlink ref="E50" r:id="rId98" xr:uid="{00000000-0004-0000-0200-000061000000}"/>
    <hyperlink ref="D51" r:id="rId99" xr:uid="{00000000-0004-0000-0200-000062000000}"/>
    <hyperlink ref="E51" r:id="rId100" xr:uid="{00000000-0004-0000-0200-000063000000}"/>
    <hyperlink ref="D52" r:id="rId101" xr:uid="{00000000-0004-0000-0200-000064000000}"/>
    <hyperlink ref="E52" r:id="rId102" xr:uid="{00000000-0004-0000-0200-000065000000}"/>
    <hyperlink ref="D53" r:id="rId103" xr:uid="{00000000-0004-0000-0200-000066000000}"/>
    <hyperlink ref="E53" r:id="rId104" xr:uid="{00000000-0004-0000-0200-000067000000}"/>
    <hyperlink ref="D54" r:id="rId105" xr:uid="{00000000-0004-0000-0200-000068000000}"/>
    <hyperlink ref="E54" r:id="rId106" xr:uid="{00000000-0004-0000-0200-000069000000}"/>
    <hyperlink ref="D55" r:id="rId107" xr:uid="{00000000-0004-0000-0200-00006A000000}"/>
    <hyperlink ref="E55" r:id="rId108" xr:uid="{00000000-0004-0000-0200-00006B000000}"/>
    <hyperlink ref="D56" r:id="rId109" xr:uid="{00000000-0004-0000-0200-00006C000000}"/>
    <hyperlink ref="E56" r:id="rId110" xr:uid="{00000000-0004-0000-0200-00006D000000}"/>
    <hyperlink ref="D57" r:id="rId111" xr:uid="{00000000-0004-0000-0200-00006E000000}"/>
    <hyperlink ref="E57" r:id="rId112" xr:uid="{00000000-0004-0000-0200-00006F000000}"/>
    <hyperlink ref="D58" r:id="rId113" xr:uid="{00000000-0004-0000-0200-000070000000}"/>
    <hyperlink ref="E58" r:id="rId114" xr:uid="{00000000-0004-0000-0200-000071000000}"/>
    <hyperlink ref="D59" r:id="rId115" xr:uid="{00000000-0004-0000-0200-000072000000}"/>
    <hyperlink ref="E59" r:id="rId116" xr:uid="{00000000-0004-0000-0200-000073000000}"/>
    <hyperlink ref="D60" r:id="rId117" xr:uid="{00000000-0004-0000-0200-000074000000}"/>
    <hyperlink ref="E60" r:id="rId118" xr:uid="{00000000-0004-0000-0200-000075000000}"/>
    <hyperlink ref="D61" r:id="rId119" xr:uid="{00000000-0004-0000-0200-000076000000}"/>
    <hyperlink ref="E61" r:id="rId120" xr:uid="{00000000-0004-0000-0200-000077000000}"/>
    <hyperlink ref="D62" r:id="rId121" xr:uid="{00000000-0004-0000-0200-000078000000}"/>
    <hyperlink ref="E62" r:id="rId122" xr:uid="{00000000-0004-0000-0200-000079000000}"/>
    <hyperlink ref="D63" r:id="rId123" xr:uid="{00000000-0004-0000-0200-00007A000000}"/>
    <hyperlink ref="E63" r:id="rId124" xr:uid="{00000000-0004-0000-0200-00007B000000}"/>
    <hyperlink ref="D64" r:id="rId125" xr:uid="{00000000-0004-0000-0200-00007C000000}"/>
    <hyperlink ref="E64" r:id="rId126" xr:uid="{00000000-0004-0000-0200-00007D000000}"/>
    <hyperlink ref="D65" r:id="rId127" xr:uid="{00000000-0004-0000-0200-00007E000000}"/>
    <hyperlink ref="E65" r:id="rId128" xr:uid="{00000000-0004-0000-0200-00007F000000}"/>
    <hyperlink ref="D66" r:id="rId129" xr:uid="{00000000-0004-0000-0200-000080000000}"/>
    <hyperlink ref="E66" r:id="rId130" xr:uid="{00000000-0004-0000-0200-000081000000}"/>
    <hyperlink ref="D67" r:id="rId131" xr:uid="{00000000-0004-0000-0200-000082000000}"/>
    <hyperlink ref="E67" r:id="rId132" xr:uid="{00000000-0004-0000-0200-000083000000}"/>
    <hyperlink ref="D68" r:id="rId133" xr:uid="{00000000-0004-0000-0200-000084000000}"/>
    <hyperlink ref="E68" r:id="rId134" xr:uid="{00000000-0004-0000-0200-000085000000}"/>
    <hyperlink ref="D69" r:id="rId135" xr:uid="{00000000-0004-0000-0200-000086000000}"/>
    <hyperlink ref="E69" r:id="rId136" xr:uid="{00000000-0004-0000-0200-000087000000}"/>
    <hyperlink ref="D70" r:id="rId137" xr:uid="{00000000-0004-0000-0200-000088000000}"/>
    <hyperlink ref="E70" r:id="rId138" xr:uid="{00000000-0004-0000-0200-000089000000}"/>
    <hyperlink ref="D71" r:id="rId139" xr:uid="{00000000-0004-0000-0200-00008A000000}"/>
    <hyperlink ref="E71" r:id="rId140" xr:uid="{00000000-0004-0000-0200-00008B000000}"/>
    <hyperlink ref="D72" r:id="rId141" xr:uid="{00000000-0004-0000-0200-00008C000000}"/>
    <hyperlink ref="E72" r:id="rId142" xr:uid="{00000000-0004-0000-0200-00008D000000}"/>
    <hyperlink ref="D73" r:id="rId143" xr:uid="{00000000-0004-0000-0200-00008E000000}"/>
    <hyperlink ref="E73" r:id="rId144" xr:uid="{00000000-0004-0000-0200-00008F000000}"/>
    <hyperlink ref="D74" r:id="rId145" xr:uid="{00000000-0004-0000-0200-000090000000}"/>
    <hyperlink ref="E74" r:id="rId146" xr:uid="{00000000-0004-0000-0200-000091000000}"/>
    <hyperlink ref="D75" r:id="rId147" xr:uid="{00000000-0004-0000-0200-000092000000}"/>
    <hyperlink ref="E75" r:id="rId148" xr:uid="{00000000-0004-0000-0200-000093000000}"/>
    <hyperlink ref="D76" r:id="rId149" xr:uid="{00000000-0004-0000-0200-000094000000}"/>
    <hyperlink ref="E76" r:id="rId150" xr:uid="{00000000-0004-0000-0200-000095000000}"/>
    <hyperlink ref="D77" r:id="rId151" xr:uid="{00000000-0004-0000-0200-000096000000}"/>
    <hyperlink ref="E77" r:id="rId152" xr:uid="{00000000-0004-0000-0200-000097000000}"/>
    <hyperlink ref="D78" r:id="rId153" xr:uid="{00000000-0004-0000-0200-000098000000}"/>
    <hyperlink ref="E78" r:id="rId154" xr:uid="{00000000-0004-0000-0200-000099000000}"/>
    <hyperlink ref="D79" r:id="rId155" xr:uid="{00000000-0004-0000-0200-00009A000000}"/>
    <hyperlink ref="E79" r:id="rId156" xr:uid="{00000000-0004-0000-0200-00009B000000}"/>
    <hyperlink ref="D80" r:id="rId157" xr:uid="{00000000-0004-0000-0200-00009C000000}"/>
    <hyperlink ref="E80" r:id="rId158" xr:uid="{00000000-0004-0000-0200-00009D000000}"/>
    <hyperlink ref="D81" r:id="rId159" xr:uid="{00000000-0004-0000-0200-00009E000000}"/>
    <hyperlink ref="E81" r:id="rId160" xr:uid="{00000000-0004-0000-0200-00009F000000}"/>
    <hyperlink ref="D82" r:id="rId161" xr:uid="{00000000-0004-0000-0200-0000A0000000}"/>
    <hyperlink ref="E82" r:id="rId162" xr:uid="{00000000-0004-0000-0200-0000A1000000}"/>
    <hyperlink ref="D83" r:id="rId163" xr:uid="{00000000-0004-0000-0200-0000A2000000}"/>
    <hyperlink ref="E83" r:id="rId164" xr:uid="{00000000-0004-0000-0200-0000A3000000}"/>
    <hyperlink ref="D84" r:id="rId165" xr:uid="{00000000-0004-0000-0200-0000A4000000}"/>
    <hyperlink ref="E84" r:id="rId166" xr:uid="{00000000-0004-0000-0200-0000A5000000}"/>
    <hyperlink ref="D85" r:id="rId167" xr:uid="{00000000-0004-0000-0200-0000A6000000}"/>
    <hyperlink ref="E85" r:id="rId168" xr:uid="{00000000-0004-0000-0200-0000A7000000}"/>
    <hyperlink ref="D86" r:id="rId169" xr:uid="{00000000-0004-0000-0200-0000A8000000}"/>
    <hyperlink ref="E86" r:id="rId170" xr:uid="{00000000-0004-0000-0200-0000A9000000}"/>
    <hyperlink ref="D87" r:id="rId171" xr:uid="{00000000-0004-0000-0200-0000AA000000}"/>
    <hyperlink ref="E87" r:id="rId172" xr:uid="{00000000-0004-0000-0200-0000AB000000}"/>
    <hyperlink ref="D88" r:id="rId173" xr:uid="{00000000-0004-0000-0200-0000AC000000}"/>
    <hyperlink ref="E88" r:id="rId174" xr:uid="{00000000-0004-0000-0200-0000AD000000}"/>
    <hyperlink ref="D89" r:id="rId175" xr:uid="{00000000-0004-0000-0200-0000AE000000}"/>
    <hyperlink ref="E89" r:id="rId176" xr:uid="{00000000-0004-0000-0200-0000AF000000}"/>
    <hyperlink ref="D90" r:id="rId177" xr:uid="{00000000-0004-0000-0200-0000B0000000}"/>
    <hyperlink ref="E90" r:id="rId178" xr:uid="{00000000-0004-0000-0200-0000B1000000}"/>
    <hyperlink ref="D91" r:id="rId179" xr:uid="{00000000-0004-0000-0200-0000B2000000}"/>
    <hyperlink ref="E91" r:id="rId180" xr:uid="{00000000-0004-0000-0200-0000B3000000}"/>
    <hyperlink ref="D92" r:id="rId181" xr:uid="{00000000-0004-0000-0200-0000B4000000}"/>
    <hyperlink ref="E92" r:id="rId182" xr:uid="{00000000-0004-0000-0200-0000B5000000}"/>
    <hyperlink ref="D93" r:id="rId183" xr:uid="{00000000-0004-0000-0200-0000B6000000}"/>
    <hyperlink ref="E93" r:id="rId184" xr:uid="{00000000-0004-0000-0200-0000B7000000}"/>
    <hyperlink ref="D94" r:id="rId185" xr:uid="{00000000-0004-0000-0200-0000B8000000}"/>
    <hyperlink ref="E94" r:id="rId186" xr:uid="{00000000-0004-0000-0200-0000B9000000}"/>
    <hyperlink ref="D95" r:id="rId187" xr:uid="{00000000-0004-0000-0200-0000BA000000}"/>
    <hyperlink ref="E95" r:id="rId188" xr:uid="{00000000-0004-0000-0200-0000BB000000}"/>
    <hyperlink ref="D96" r:id="rId189" xr:uid="{00000000-0004-0000-0200-0000BC000000}"/>
    <hyperlink ref="E96" r:id="rId190" xr:uid="{00000000-0004-0000-0200-0000BD000000}"/>
    <hyperlink ref="D97" r:id="rId191" xr:uid="{00000000-0004-0000-0200-0000BE000000}"/>
    <hyperlink ref="E97" r:id="rId192" xr:uid="{00000000-0004-0000-0200-0000BF000000}"/>
    <hyperlink ref="D98" r:id="rId193" xr:uid="{00000000-0004-0000-0200-0000C0000000}"/>
    <hyperlink ref="E98" r:id="rId194" xr:uid="{00000000-0004-0000-0200-0000C1000000}"/>
    <hyperlink ref="D99" r:id="rId195" xr:uid="{00000000-0004-0000-0200-0000C2000000}"/>
    <hyperlink ref="E99" r:id="rId196" xr:uid="{00000000-0004-0000-0200-0000C3000000}"/>
    <hyperlink ref="D100" r:id="rId197" xr:uid="{00000000-0004-0000-0200-0000C4000000}"/>
    <hyperlink ref="E100" r:id="rId198" xr:uid="{00000000-0004-0000-0200-0000C5000000}"/>
    <hyperlink ref="D101" r:id="rId199" xr:uid="{00000000-0004-0000-0200-0000C6000000}"/>
    <hyperlink ref="E101" r:id="rId200" xr:uid="{00000000-0004-0000-0200-0000C7000000}"/>
    <hyperlink ref="D102" r:id="rId201" xr:uid="{00000000-0004-0000-0200-0000C8000000}"/>
    <hyperlink ref="E102" r:id="rId202" xr:uid="{00000000-0004-0000-0200-0000C9000000}"/>
    <hyperlink ref="D103" r:id="rId203" xr:uid="{00000000-0004-0000-0200-0000CA000000}"/>
    <hyperlink ref="E103" r:id="rId204" xr:uid="{00000000-0004-0000-0200-0000CB000000}"/>
    <hyperlink ref="D104" r:id="rId205" xr:uid="{00000000-0004-0000-0200-0000CC000000}"/>
    <hyperlink ref="E104" r:id="rId206" xr:uid="{00000000-0004-0000-0200-0000CD000000}"/>
    <hyperlink ref="D105" r:id="rId207" xr:uid="{00000000-0004-0000-0200-0000CE000000}"/>
    <hyperlink ref="E105" r:id="rId208" xr:uid="{00000000-0004-0000-0200-0000CF000000}"/>
    <hyperlink ref="D106" r:id="rId209" xr:uid="{00000000-0004-0000-0200-0000D0000000}"/>
    <hyperlink ref="E106" r:id="rId210" xr:uid="{00000000-0004-0000-0200-0000D1000000}"/>
    <hyperlink ref="D107" r:id="rId211" xr:uid="{00000000-0004-0000-0200-0000D2000000}"/>
    <hyperlink ref="E107" r:id="rId212" xr:uid="{00000000-0004-0000-0200-0000D3000000}"/>
    <hyperlink ref="D108" r:id="rId213" xr:uid="{00000000-0004-0000-0200-0000D4000000}"/>
    <hyperlink ref="E108" r:id="rId214" xr:uid="{00000000-0004-0000-0200-0000D5000000}"/>
    <hyperlink ref="D109" r:id="rId215" xr:uid="{00000000-0004-0000-0200-0000D6000000}"/>
    <hyperlink ref="E109" r:id="rId216" xr:uid="{00000000-0004-0000-0200-0000D7000000}"/>
    <hyperlink ref="D110" r:id="rId217" xr:uid="{00000000-0004-0000-0200-0000D8000000}"/>
    <hyperlink ref="E110" r:id="rId218" xr:uid="{00000000-0004-0000-0200-0000D9000000}"/>
    <hyperlink ref="D111" r:id="rId219" xr:uid="{00000000-0004-0000-0200-0000DA000000}"/>
    <hyperlink ref="E111" r:id="rId220" xr:uid="{00000000-0004-0000-0200-0000DB000000}"/>
    <hyperlink ref="D112" r:id="rId221" xr:uid="{00000000-0004-0000-0200-0000DC000000}"/>
    <hyperlink ref="E112" r:id="rId222" xr:uid="{00000000-0004-0000-0200-0000DD000000}"/>
    <hyperlink ref="D113" r:id="rId223" xr:uid="{00000000-0004-0000-0200-0000DE000000}"/>
    <hyperlink ref="E113" r:id="rId224" xr:uid="{00000000-0004-0000-0200-0000DF000000}"/>
    <hyperlink ref="D114" r:id="rId225" xr:uid="{00000000-0004-0000-0200-0000E0000000}"/>
    <hyperlink ref="E114" r:id="rId226" xr:uid="{00000000-0004-0000-0200-0000E1000000}"/>
    <hyperlink ref="D115" r:id="rId227" xr:uid="{00000000-0004-0000-0200-0000E2000000}"/>
    <hyperlink ref="E115" r:id="rId228" xr:uid="{00000000-0004-0000-0200-0000E3000000}"/>
    <hyperlink ref="D116" r:id="rId229" xr:uid="{00000000-0004-0000-0200-0000E4000000}"/>
    <hyperlink ref="E116" r:id="rId230" xr:uid="{00000000-0004-0000-0200-0000E5000000}"/>
    <hyperlink ref="D117" r:id="rId231" xr:uid="{00000000-0004-0000-0200-0000E6000000}"/>
    <hyperlink ref="E117" r:id="rId232" xr:uid="{00000000-0004-0000-0200-0000E7000000}"/>
    <hyperlink ref="D118" r:id="rId233" xr:uid="{00000000-0004-0000-0200-0000E8000000}"/>
    <hyperlink ref="E118" r:id="rId234" xr:uid="{00000000-0004-0000-0200-0000E9000000}"/>
    <hyperlink ref="D119" r:id="rId235" xr:uid="{00000000-0004-0000-0200-0000EA000000}"/>
    <hyperlink ref="E119" r:id="rId236" xr:uid="{00000000-0004-0000-0200-0000EB000000}"/>
    <hyperlink ref="D120" r:id="rId237" xr:uid="{00000000-0004-0000-0200-0000EC000000}"/>
    <hyperlink ref="E120" r:id="rId238" xr:uid="{00000000-0004-0000-0200-0000ED000000}"/>
    <hyperlink ref="D121" r:id="rId239" xr:uid="{00000000-0004-0000-0200-0000EE000000}"/>
    <hyperlink ref="E121" r:id="rId240" xr:uid="{00000000-0004-0000-0200-0000EF000000}"/>
    <hyperlink ref="D122" r:id="rId241" xr:uid="{00000000-0004-0000-0200-0000F0000000}"/>
    <hyperlink ref="E122" r:id="rId242" xr:uid="{00000000-0004-0000-0200-0000F1000000}"/>
    <hyperlink ref="D123" r:id="rId243" xr:uid="{00000000-0004-0000-0200-0000F2000000}"/>
    <hyperlink ref="E123" r:id="rId244" xr:uid="{00000000-0004-0000-0200-0000F3000000}"/>
    <hyperlink ref="D124" r:id="rId245" xr:uid="{00000000-0004-0000-0200-0000F4000000}"/>
    <hyperlink ref="E124" r:id="rId246" xr:uid="{00000000-0004-0000-0200-0000F5000000}"/>
    <hyperlink ref="D125" r:id="rId247" xr:uid="{00000000-0004-0000-0200-0000F6000000}"/>
    <hyperlink ref="E125" r:id="rId248" xr:uid="{00000000-0004-0000-0200-0000F7000000}"/>
    <hyperlink ref="D126" r:id="rId249" xr:uid="{00000000-0004-0000-0200-0000F8000000}"/>
    <hyperlink ref="E126" r:id="rId250" xr:uid="{00000000-0004-0000-0200-0000F9000000}"/>
    <hyperlink ref="D127" r:id="rId251" xr:uid="{00000000-0004-0000-0200-0000FA000000}"/>
    <hyperlink ref="E127" r:id="rId252" xr:uid="{00000000-0004-0000-0200-0000FB000000}"/>
    <hyperlink ref="D128" r:id="rId253" xr:uid="{00000000-0004-0000-0200-0000FC000000}"/>
    <hyperlink ref="E128" r:id="rId254" xr:uid="{00000000-0004-0000-0200-0000FD000000}"/>
    <hyperlink ref="D129" r:id="rId255" xr:uid="{00000000-0004-0000-0200-0000FE000000}"/>
    <hyperlink ref="E129" r:id="rId256" xr:uid="{00000000-0004-0000-0200-0000FF000000}"/>
    <hyperlink ref="D130" r:id="rId257" xr:uid="{00000000-0004-0000-0200-000000010000}"/>
    <hyperlink ref="E130" r:id="rId258" xr:uid="{00000000-0004-0000-0200-000001010000}"/>
    <hyperlink ref="D131" r:id="rId259" xr:uid="{00000000-0004-0000-0200-000002010000}"/>
    <hyperlink ref="E131" r:id="rId260" xr:uid="{00000000-0004-0000-0200-000003010000}"/>
    <hyperlink ref="D132" r:id="rId261" xr:uid="{00000000-0004-0000-0200-000004010000}"/>
    <hyperlink ref="E132" r:id="rId262" xr:uid="{00000000-0004-0000-0200-000005010000}"/>
    <hyperlink ref="D133" r:id="rId263" xr:uid="{00000000-0004-0000-0200-000006010000}"/>
    <hyperlink ref="E133" r:id="rId264" xr:uid="{00000000-0004-0000-0200-000007010000}"/>
    <hyperlink ref="D134" r:id="rId265" xr:uid="{00000000-0004-0000-0200-000008010000}"/>
    <hyperlink ref="E134" r:id="rId266" xr:uid="{00000000-0004-0000-0200-000009010000}"/>
    <hyperlink ref="D135" r:id="rId267" xr:uid="{00000000-0004-0000-0200-00000A010000}"/>
    <hyperlink ref="E135" r:id="rId268" xr:uid="{00000000-0004-0000-0200-00000B010000}"/>
    <hyperlink ref="D136" r:id="rId269" xr:uid="{00000000-0004-0000-0200-00000C010000}"/>
    <hyperlink ref="E136" r:id="rId270" xr:uid="{00000000-0004-0000-0200-00000D010000}"/>
    <hyperlink ref="D137" r:id="rId271" xr:uid="{00000000-0004-0000-0200-00000E010000}"/>
    <hyperlink ref="E137" r:id="rId272" xr:uid="{00000000-0004-0000-0200-00000F010000}"/>
    <hyperlink ref="D138" r:id="rId273" xr:uid="{00000000-0004-0000-0200-000010010000}"/>
    <hyperlink ref="E138" r:id="rId274" xr:uid="{00000000-0004-0000-0200-000011010000}"/>
    <hyperlink ref="D139" r:id="rId275" xr:uid="{00000000-0004-0000-0200-000012010000}"/>
    <hyperlink ref="E139" r:id="rId276" xr:uid="{00000000-0004-0000-0200-000013010000}"/>
    <hyperlink ref="D140" r:id="rId277" xr:uid="{00000000-0004-0000-0200-000014010000}"/>
    <hyperlink ref="E140" r:id="rId278" xr:uid="{00000000-0004-0000-0200-000015010000}"/>
    <hyperlink ref="D141" r:id="rId279" xr:uid="{00000000-0004-0000-0200-000016010000}"/>
    <hyperlink ref="E141" r:id="rId280" xr:uid="{00000000-0004-0000-0200-000017010000}"/>
    <hyperlink ref="D142" r:id="rId281" xr:uid="{00000000-0004-0000-0200-000018010000}"/>
    <hyperlink ref="E142" r:id="rId282" xr:uid="{00000000-0004-0000-0200-000019010000}"/>
    <hyperlink ref="D143" r:id="rId283" xr:uid="{00000000-0004-0000-0200-00001A010000}"/>
    <hyperlink ref="E143" r:id="rId284" xr:uid="{00000000-0004-0000-0200-00001B010000}"/>
    <hyperlink ref="D144" r:id="rId285" xr:uid="{00000000-0004-0000-0200-00001C010000}"/>
    <hyperlink ref="E144" r:id="rId286" xr:uid="{00000000-0004-0000-0200-00001D010000}"/>
    <hyperlink ref="D145" r:id="rId287" xr:uid="{00000000-0004-0000-0200-00001E010000}"/>
    <hyperlink ref="E145" r:id="rId288" xr:uid="{00000000-0004-0000-0200-00001F010000}"/>
    <hyperlink ref="D146" r:id="rId289" xr:uid="{00000000-0004-0000-0200-000020010000}"/>
    <hyperlink ref="E146" r:id="rId290" xr:uid="{00000000-0004-0000-0200-000021010000}"/>
    <hyperlink ref="D147" r:id="rId291" xr:uid="{00000000-0004-0000-0200-000022010000}"/>
    <hyperlink ref="E147" r:id="rId292" xr:uid="{00000000-0004-0000-0200-000023010000}"/>
    <hyperlink ref="D148" r:id="rId293" xr:uid="{00000000-0004-0000-0200-000024010000}"/>
    <hyperlink ref="E148" r:id="rId294" xr:uid="{00000000-0004-0000-0200-000025010000}"/>
    <hyperlink ref="D149" r:id="rId295" xr:uid="{00000000-0004-0000-0200-000026010000}"/>
    <hyperlink ref="E149" r:id="rId296" xr:uid="{00000000-0004-0000-0200-000027010000}"/>
    <hyperlink ref="D150" r:id="rId297" xr:uid="{00000000-0004-0000-0200-000028010000}"/>
    <hyperlink ref="E150" r:id="rId298" xr:uid="{00000000-0004-0000-0200-000029010000}"/>
    <hyperlink ref="D151" r:id="rId299" xr:uid="{00000000-0004-0000-0200-00002A010000}"/>
    <hyperlink ref="E151" r:id="rId300" xr:uid="{00000000-0004-0000-0200-00002B010000}"/>
    <hyperlink ref="D152" r:id="rId301" xr:uid="{00000000-0004-0000-0200-00002C010000}"/>
    <hyperlink ref="E152" r:id="rId302" xr:uid="{00000000-0004-0000-0200-00002D010000}"/>
    <hyperlink ref="D153" r:id="rId303" xr:uid="{00000000-0004-0000-0200-00002E010000}"/>
    <hyperlink ref="E153" r:id="rId304" xr:uid="{00000000-0004-0000-0200-00002F010000}"/>
    <hyperlink ref="D154" r:id="rId305" xr:uid="{00000000-0004-0000-0200-000030010000}"/>
    <hyperlink ref="E154" r:id="rId306" xr:uid="{00000000-0004-0000-0200-000031010000}"/>
    <hyperlink ref="D155" r:id="rId307" xr:uid="{00000000-0004-0000-0200-000032010000}"/>
    <hyperlink ref="E155" r:id="rId308" xr:uid="{00000000-0004-0000-0200-000033010000}"/>
    <hyperlink ref="D156" r:id="rId309" xr:uid="{00000000-0004-0000-0200-000034010000}"/>
    <hyperlink ref="E156" r:id="rId310" xr:uid="{00000000-0004-0000-0200-000035010000}"/>
    <hyperlink ref="D157" r:id="rId311" xr:uid="{00000000-0004-0000-0200-000036010000}"/>
    <hyperlink ref="E157" r:id="rId312" xr:uid="{00000000-0004-0000-0200-000037010000}"/>
    <hyperlink ref="D158" r:id="rId313" xr:uid="{00000000-0004-0000-0200-000038010000}"/>
    <hyperlink ref="E158" r:id="rId314" xr:uid="{00000000-0004-0000-0200-000039010000}"/>
    <hyperlink ref="D159" r:id="rId315" xr:uid="{00000000-0004-0000-0200-00003A010000}"/>
    <hyperlink ref="E159" r:id="rId316" xr:uid="{00000000-0004-0000-0200-00003B010000}"/>
    <hyperlink ref="D160" r:id="rId317" xr:uid="{00000000-0004-0000-0200-00003C010000}"/>
    <hyperlink ref="E160" r:id="rId318" xr:uid="{00000000-0004-0000-0200-00003D010000}"/>
    <hyperlink ref="D161" r:id="rId319" xr:uid="{00000000-0004-0000-0200-00003E010000}"/>
    <hyperlink ref="E161" r:id="rId320" xr:uid="{00000000-0004-0000-0200-00003F010000}"/>
    <hyperlink ref="D162" r:id="rId321" xr:uid="{00000000-0004-0000-0200-000040010000}"/>
    <hyperlink ref="E162" r:id="rId322" xr:uid="{00000000-0004-0000-0200-000041010000}"/>
    <hyperlink ref="D163" r:id="rId323" xr:uid="{00000000-0004-0000-0200-000042010000}"/>
    <hyperlink ref="E163" r:id="rId324" xr:uid="{00000000-0004-0000-0200-000043010000}"/>
    <hyperlink ref="D164" r:id="rId325" xr:uid="{00000000-0004-0000-0200-000044010000}"/>
    <hyperlink ref="E164" r:id="rId326" xr:uid="{00000000-0004-0000-0200-000045010000}"/>
    <hyperlink ref="D165" r:id="rId327" xr:uid="{00000000-0004-0000-0200-000046010000}"/>
    <hyperlink ref="E165" r:id="rId328" xr:uid="{00000000-0004-0000-0200-000047010000}"/>
    <hyperlink ref="D166" r:id="rId329" xr:uid="{00000000-0004-0000-0200-000048010000}"/>
    <hyperlink ref="E166" r:id="rId330" xr:uid="{00000000-0004-0000-0200-000049010000}"/>
    <hyperlink ref="D167" r:id="rId331" xr:uid="{00000000-0004-0000-0200-00004A010000}"/>
    <hyperlink ref="E167" r:id="rId332" xr:uid="{00000000-0004-0000-0200-00004B010000}"/>
    <hyperlink ref="D168" r:id="rId333" xr:uid="{00000000-0004-0000-0200-00004C010000}"/>
    <hyperlink ref="E168" r:id="rId334" xr:uid="{00000000-0004-0000-0200-00004D010000}"/>
    <hyperlink ref="D169" r:id="rId335" xr:uid="{00000000-0004-0000-0200-00004E010000}"/>
    <hyperlink ref="E169" r:id="rId336" xr:uid="{00000000-0004-0000-0200-00004F010000}"/>
    <hyperlink ref="D170" r:id="rId337" xr:uid="{00000000-0004-0000-0200-000050010000}"/>
    <hyperlink ref="E170" r:id="rId338" xr:uid="{00000000-0004-0000-0200-000051010000}"/>
    <hyperlink ref="D171" r:id="rId339" xr:uid="{00000000-0004-0000-0200-000052010000}"/>
    <hyperlink ref="E171" r:id="rId340" xr:uid="{00000000-0004-0000-0200-000053010000}"/>
    <hyperlink ref="D172" r:id="rId341" xr:uid="{00000000-0004-0000-0200-000054010000}"/>
    <hyperlink ref="E172" r:id="rId342" xr:uid="{00000000-0004-0000-0200-000055010000}"/>
    <hyperlink ref="D173" r:id="rId343" xr:uid="{00000000-0004-0000-0200-000056010000}"/>
    <hyperlink ref="E173" r:id="rId344" xr:uid="{00000000-0004-0000-0200-000057010000}"/>
    <hyperlink ref="D174" r:id="rId345" xr:uid="{00000000-0004-0000-0200-000058010000}"/>
    <hyperlink ref="E174" r:id="rId346" xr:uid="{00000000-0004-0000-0200-000059010000}"/>
    <hyperlink ref="D175" r:id="rId347" xr:uid="{00000000-0004-0000-0200-00005A010000}"/>
    <hyperlink ref="E175" r:id="rId348" xr:uid="{00000000-0004-0000-0200-00005B010000}"/>
    <hyperlink ref="D176" r:id="rId349" xr:uid="{00000000-0004-0000-0200-00005C010000}"/>
    <hyperlink ref="E176" r:id="rId350" xr:uid="{00000000-0004-0000-0200-00005D010000}"/>
    <hyperlink ref="D177" r:id="rId351" xr:uid="{00000000-0004-0000-0200-00005E010000}"/>
    <hyperlink ref="E177" r:id="rId352" xr:uid="{00000000-0004-0000-0200-00005F010000}"/>
    <hyperlink ref="D178" r:id="rId353" xr:uid="{00000000-0004-0000-0200-000060010000}"/>
    <hyperlink ref="E178" r:id="rId354" xr:uid="{00000000-0004-0000-0200-000061010000}"/>
    <hyperlink ref="D179" r:id="rId355" xr:uid="{00000000-0004-0000-0200-000062010000}"/>
    <hyperlink ref="E179" r:id="rId356" xr:uid="{00000000-0004-0000-0200-000063010000}"/>
    <hyperlink ref="D180" r:id="rId357" xr:uid="{00000000-0004-0000-0200-000064010000}"/>
    <hyperlink ref="E180" r:id="rId358" xr:uid="{00000000-0004-0000-0200-000065010000}"/>
    <hyperlink ref="D181" r:id="rId359" xr:uid="{00000000-0004-0000-0200-000066010000}"/>
    <hyperlink ref="E181" r:id="rId360" xr:uid="{00000000-0004-0000-0200-000067010000}"/>
    <hyperlink ref="D182" r:id="rId361" xr:uid="{00000000-0004-0000-0200-000068010000}"/>
    <hyperlink ref="E182" r:id="rId362" xr:uid="{00000000-0004-0000-0200-000069010000}"/>
    <hyperlink ref="D183" r:id="rId363" xr:uid="{00000000-0004-0000-0200-00006A010000}"/>
    <hyperlink ref="E183" r:id="rId364" xr:uid="{00000000-0004-0000-0200-00006B010000}"/>
    <hyperlink ref="D184" r:id="rId365" xr:uid="{00000000-0004-0000-0200-00006C010000}"/>
    <hyperlink ref="E184" r:id="rId366" xr:uid="{00000000-0004-0000-0200-00006D010000}"/>
    <hyperlink ref="D185" r:id="rId367" xr:uid="{00000000-0004-0000-0200-00006E010000}"/>
    <hyperlink ref="E185" r:id="rId368" xr:uid="{00000000-0004-0000-0200-00006F010000}"/>
    <hyperlink ref="D186" r:id="rId369" xr:uid="{00000000-0004-0000-0200-000070010000}"/>
    <hyperlink ref="E186" r:id="rId370" xr:uid="{00000000-0004-0000-0200-000071010000}"/>
    <hyperlink ref="D187" r:id="rId371" xr:uid="{00000000-0004-0000-0200-000072010000}"/>
    <hyperlink ref="E187" r:id="rId372" xr:uid="{00000000-0004-0000-0200-000073010000}"/>
    <hyperlink ref="D188" r:id="rId373" xr:uid="{00000000-0004-0000-0200-000074010000}"/>
    <hyperlink ref="E188" r:id="rId374" xr:uid="{00000000-0004-0000-0200-000075010000}"/>
    <hyperlink ref="D189" r:id="rId375" xr:uid="{00000000-0004-0000-0200-000076010000}"/>
    <hyperlink ref="E189" r:id="rId376" xr:uid="{00000000-0004-0000-0200-000077010000}"/>
    <hyperlink ref="D190" r:id="rId377" xr:uid="{00000000-0004-0000-0200-000078010000}"/>
    <hyperlink ref="E190" r:id="rId378" xr:uid="{00000000-0004-0000-0200-000079010000}"/>
    <hyperlink ref="D191" r:id="rId379" xr:uid="{00000000-0004-0000-0200-00007A010000}"/>
    <hyperlink ref="E191" r:id="rId380" xr:uid="{00000000-0004-0000-0200-00007B010000}"/>
    <hyperlink ref="D192" r:id="rId381" xr:uid="{00000000-0004-0000-0200-00007C010000}"/>
    <hyperlink ref="E192" r:id="rId382" xr:uid="{00000000-0004-0000-0200-00007D010000}"/>
    <hyperlink ref="D193" r:id="rId383" xr:uid="{00000000-0004-0000-0200-00007E010000}"/>
    <hyperlink ref="E193" r:id="rId384" xr:uid="{00000000-0004-0000-0200-00007F010000}"/>
    <hyperlink ref="D194" r:id="rId385" xr:uid="{00000000-0004-0000-0200-000080010000}"/>
    <hyperlink ref="E194" r:id="rId386" xr:uid="{00000000-0004-0000-0200-000081010000}"/>
    <hyperlink ref="D195" r:id="rId387" xr:uid="{00000000-0004-0000-0200-000082010000}"/>
    <hyperlink ref="E195" r:id="rId388" xr:uid="{00000000-0004-0000-0200-000083010000}"/>
    <hyperlink ref="D196" r:id="rId389" xr:uid="{00000000-0004-0000-0200-000084010000}"/>
    <hyperlink ref="E196" r:id="rId390" xr:uid="{00000000-0004-0000-0200-000085010000}"/>
    <hyperlink ref="D197" r:id="rId391" xr:uid="{00000000-0004-0000-0200-000086010000}"/>
    <hyperlink ref="E197" r:id="rId392" xr:uid="{00000000-0004-0000-0200-000087010000}"/>
    <hyperlink ref="D198" r:id="rId393" xr:uid="{00000000-0004-0000-0200-000088010000}"/>
    <hyperlink ref="E198" r:id="rId394" xr:uid="{00000000-0004-0000-0200-000089010000}"/>
    <hyperlink ref="D199" r:id="rId395" xr:uid="{00000000-0004-0000-0200-00008A010000}"/>
    <hyperlink ref="E199" r:id="rId396" xr:uid="{00000000-0004-0000-0200-00008B010000}"/>
    <hyperlink ref="D200" r:id="rId397" xr:uid="{00000000-0004-0000-0200-00008C010000}"/>
    <hyperlink ref="E200" r:id="rId398" xr:uid="{00000000-0004-0000-0200-00008D010000}"/>
    <hyperlink ref="D201" r:id="rId399" xr:uid="{00000000-0004-0000-0200-00008E010000}"/>
    <hyperlink ref="E201" r:id="rId400" xr:uid="{00000000-0004-0000-0200-00008F010000}"/>
    <hyperlink ref="D202" r:id="rId401" xr:uid="{00000000-0004-0000-0200-000090010000}"/>
    <hyperlink ref="E202" r:id="rId402" xr:uid="{00000000-0004-0000-0200-000091010000}"/>
    <hyperlink ref="D203" r:id="rId403" xr:uid="{00000000-0004-0000-0200-000092010000}"/>
    <hyperlink ref="E203" r:id="rId404" xr:uid="{00000000-0004-0000-0200-000093010000}"/>
    <hyperlink ref="D204" r:id="rId405" xr:uid="{00000000-0004-0000-0200-000094010000}"/>
    <hyperlink ref="E204" r:id="rId406" xr:uid="{00000000-0004-0000-0200-000095010000}"/>
    <hyperlink ref="D205" r:id="rId407" xr:uid="{00000000-0004-0000-0200-000096010000}"/>
    <hyperlink ref="E205" r:id="rId408" xr:uid="{00000000-0004-0000-0200-000097010000}"/>
    <hyperlink ref="D206" r:id="rId409" xr:uid="{00000000-0004-0000-0200-000098010000}"/>
    <hyperlink ref="E206" r:id="rId410" xr:uid="{00000000-0004-0000-0200-000099010000}"/>
    <hyperlink ref="D207" r:id="rId411" xr:uid="{00000000-0004-0000-0200-00009A010000}"/>
    <hyperlink ref="E207" r:id="rId412" xr:uid="{00000000-0004-0000-0200-00009B010000}"/>
    <hyperlink ref="D208" r:id="rId413" xr:uid="{00000000-0004-0000-0200-00009C010000}"/>
    <hyperlink ref="E208" r:id="rId414" xr:uid="{00000000-0004-0000-0200-00009D010000}"/>
    <hyperlink ref="D209" r:id="rId415" xr:uid="{00000000-0004-0000-0200-00009E010000}"/>
    <hyperlink ref="E209" r:id="rId416" xr:uid="{00000000-0004-0000-0200-00009F010000}"/>
    <hyperlink ref="D210" r:id="rId417" xr:uid="{00000000-0004-0000-0200-0000A0010000}"/>
    <hyperlink ref="E210" r:id="rId418" xr:uid="{00000000-0004-0000-0200-0000A1010000}"/>
    <hyperlink ref="D211" r:id="rId419" xr:uid="{00000000-0004-0000-0200-0000A2010000}"/>
    <hyperlink ref="E211" r:id="rId420" xr:uid="{00000000-0004-0000-0200-0000A3010000}"/>
    <hyperlink ref="D212" r:id="rId421" xr:uid="{00000000-0004-0000-0200-0000A4010000}"/>
    <hyperlink ref="E212" r:id="rId422" xr:uid="{00000000-0004-0000-0200-0000A5010000}"/>
    <hyperlink ref="D213" r:id="rId423" xr:uid="{00000000-0004-0000-0200-0000A6010000}"/>
    <hyperlink ref="E213" r:id="rId424" xr:uid="{00000000-0004-0000-0200-0000A7010000}"/>
    <hyperlink ref="D214" r:id="rId425" xr:uid="{00000000-0004-0000-0200-0000A8010000}"/>
    <hyperlink ref="E214" r:id="rId426" xr:uid="{00000000-0004-0000-0200-0000A9010000}"/>
    <hyperlink ref="D215" r:id="rId427" xr:uid="{00000000-0004-0000-0200-0000AA010000}"/>
    <hyperlink ref="E215" r:id="rId428" xr:uid="{00000000-0004-0000-0200-0000AB010000}"/>
    <hyperlink ref="D216" r:id="rId429" xr:uid="{00000000-0004-0000-0200-0000AC010000}"/>
    <hyperlink ref="E216" r:id="rId430" xr:uid="{00000000-0004-0000-0200-0000AD010000}"/>
    <hyperlink ref="D217" r:id="rId431" xr:uid="{00000000-0004-0000-0200-0000AE010000}"/>
    <hyperlink ref="E217" r:id="rId432" xr:uid="{00000000-0004-0000-0200-0000AF010000}"/>
    <hyperlink ref="D218" r:id="rId433" xr:uid="{00000000-0004-0000-0200-0000B0010000}"/>
    <hyperlink ref="E218" r:id="rId434" xr:uid="{00000000-0004-0000-0200-0000B1010000}"/>
    <hyperlink ref="D219" r:id="rId435" xr:uid="{00000000-0004-0000-0200-0000B2010000}"/>
    <hyperlink ref="E219" r:id="rId436" xr:uid="{00000000-0004-0000-0200-0000B3010000}"/>
    <hyperlink ref="D220" r:id="rId437" xr:uid="{00000000-0004-0000-0200-0000B4010000}"/>
    <hyperlink ref="E220" r:id="rId438" xr:uid="{00000000-0004-0000-0200-0000B5010000}"/>
    <hyperlink ref="D221" r:id="rId439" xr:uid="{00000000-0004-0000-0200-0000B6010000}"/>
    <hyperlink ref="E221" r:id="rId440" xr:uid="{00000000-0004-0000-0200-0000B7010000}"/>
    <hyperlink ref="D222" r:id="rId441" xr:uid="{00000000-0004-0000-0200-0000B8010000}"/>
    <hyperlink ref="E222" r:id="rId442" xr:uid="{00000000-0004-0000-0200-0000B9010000}"/>
    <hyperlink ref="D223" r:id="rId443" xr:uid="{00000000-0004-0000-0200-0000BA010000}"/>
    <hyperlink ref="E223" r:id="rId444" xr:uid="{00000000-0004-0000-0200-0000BB010000}"/>
    <hyperlink ref="D224" r:id="rId445" xr:uid="{00000000-0004-0000-0200-0000BC010000}"/>
    <hyperlink ref="E224" r:id="rId446" xr:uid="{00000000-0004-0000-0200-0000BD010000}"/>
    <hyperlink ref="D225" r:id="rId447" xr:uid="{00000000-0004-0000-0200-0000BE010000}"/>
    <hyperlink ref="E225" r:id="rId448" xr:uid="{00000000-0004-0000-0200-0000BF010000}"/>
    <hyperlink ref="D226" r:id="rId449" xr:uid="{00000000-0004-0000-0200-0000C0010000}"/>
    <hyperlink ref="E226" r:id="rId450" xr:uid="{00000000-0004-0000-0200-0000C1010000}"/>
    <hyperlink ref="D227" r:id="rId451" xr:uid="{00000000-0004-0000-0200-0000C2010000}"/>
    <hyperlink ref="E227" r:id="rId452" xr:uid="{00000000-0004-0000-0200-0000C3010000}"/>
    <hyperlink ref="D228" r:id="rId453" xr:uid="{00000000-0004-0000-0200-0000C4010000}"/>
    <hyperlink ref="E228" r:id="rId454" xr:uid="{00000000-0004-0000-0200-0000C5010000}"/>
    <hyperlink ref="D229" r:id="rId455" xr:uid="{00000000-0004-0000-0200-0000C6010000}"/>
    <hyperlink ref="E229" r:id="rId456" xr:uid="{00000000-0004-0000-0200-0000C7010000}"/>
    <hyperlink ref="D230" r:id="rId457" xr:uid="{00000000-0004-0000-0200-0000C8010000}"/>
    <hyperlink ref="E230" r:id="rId458" xr:uid="{00000000-0004-0000-0200-0000C9010000}"/>
    <hyperlink ref="D231" r:id="rId459" xr:uid="{00000000-0004-0000-0200-0000CA010000}"/>
    <hyperlink ref="E231" r:id="rId460" xr:uid="{00000000-0004-0000-0200-0000CB010000}"/>
    <hyperlink ref="D232" r:id="rId461" xr:uid="{00000000-0004-0000-0200-0000CC010000}"/>
    <hyperlink ref="E232" r:id="rId462" xr:uid="{00000000-0004-0000-0200-0000CD010000}"/>
    <hyperlink ref="D233" r:id="rId463" xr:uid="{00000000-0004-0000-0200-0000CE010000}"/>
    <hyperlink ref="E233" r:id="rId464" xr:uid="{00000000-0004-0000-0200-0000CF010000}"/>
    <hyperlink ref="D234" r:id="rId465" xr:uid="{00000000-0004-0000-0200-0000D0010000}"/>
    <hyperlink ref="E234" r:id="rId466" xr:uid="{00000000-0004-0000-0200-0000D1010000}"/>
    <hyperlink ref="D235" r:id="rId467" xr:uid="{00000000-0004-0000-0200-0000D2010000}"/>
    <hyperlink ref="E235" r:id="rId468" xr:uid="{00000000-0004-0000-0200-0000D3010000}"/>
    <hyperlink ref="D236" r:id="rId469" xr:uid="{00000000-0004-0000-0200-0000D4010000}"/>
    <hyperlink ref="E236" r:id="rId470" xr:uid="{00000000-0004-0000-0200-0000D5010000}"/>
    <hyperlink ref="D237" r:id="rId471" xr:uid="{00000000-0004-0000-0200-0000D6010000}"/>
    <hyperlink ref="E237" r:id="rId472" xr:uid="{00000000-0004-0000-0200-0000D7010000}"/>
    <hyperlink ref="D238" r:id="rId473" xr:uid="{00000000-0004-0000-0200-0000D8010000}"/>
    <hyperlink ref="E238" r:id="rId474" xr:uid="{00000000-0004-0000-0200-0000D9010000}"/>
    <hyperlink ref="D239" r:id="rId475" xr:uid="{00000000-0004-0000-0200-0000DA010000}"/>
    <hyperlink ref="E239" r:id="rId476" xr:uid="{00000000-0004-0000-0200-0000DB010000}"/>
    <hyperlink ref="D240" r:id="rId477" xr:uid="{00000000-0004-0000-0200-0000DC010000}"/>
    <hyperlink ref="E240" r:id="rId478" xr:uid="{00000000-0004-0000-0200-0000DD010000}"/>
    <hyperlink ref="D241" r:id="rId479" xr:uid="{00000000-0004-0000-0200-0000DE010000}"/>
    <hyperlink ref="E241" r:id="rId480" xr:uid="{00000000-0004-0000-0200-0000DF010000}"/>
    <hyperlink ref="D242" r:id="rId481" xr:uid="{00000000-0004-0000-0200-0000E0010000}"/>
    <hyperlink ref="E242" r:id="rId482" xr:uid="{00000000-0004-0000-0200-0000E1010000}"/>
    <hyperlink ref="D243" r:id="rId483" xr:uid="{00000000-0004-0000-0200-0000E2010000}"/>
    <hyperlink ref="E243" r:id="rId484" xr:uid="{00000000-0004-0000-0200-0000E3010000}"/>
    <hyperlink ref="D244" r:id="rId485" xr:uid="{00000000-0004-0000-0200-0000E4010000}"/>
    <hyperlink ref="E244" r:id="rId486" xr:uid="{00000000-0004-0000-0200-0000E5010000}"/>
    <hyperlink ref="D245" r:id="rId487" xr:uid="{00000000-0004-0000-0200-0000E6010000}"/>
    <hyperlink ref="E245" r:id="rId488" xr:uid="{00000000-0004-0000-0200-0000E7010000}"/>
    <hyperlink ref="D246" r:id="rId489" xr:uid="{00000000-0004-0000-0200-0000E8010000}"/>
    <hyperlink ref="E246" r:id="rId490" xr:uid="{00000000-0004-0000-0200-0000E9010000}"/>
    <hyperlink ref="D247" r:id="rId491" xr:uid="{00000000-0004-0000-0200-0000EA010000}"/>
    <hyperlink ref="E247" r:id="rId492" xr:uid="{00000000-0004-0000-0200-0000EB010000}"/>
    <hyperlink ref="D248" r:id="rId493" xr:uid="{00000000-0004-0000-0200-0000EC010000}"/>
    <hyperlink ref="E248" r:id="rId494" xr:uid="{00000000-0004-0000-0200-0000ED010000}"/>
    <hyperlink ref="D249" r:id="rId495" xr:uid="{00000000-0004-0000-0200-0000EE010000}"/>
    <hyperlink ref="E249" r:id="rId496" xr:uid="{00000000-0004-0000-0200-0000EF010000}"/>
    <hyperlink ref="D250" r:id="rId497" xr:uid="{00000000-0004-0000-0200-0000F0010000}"/>
    <hyperlink ref="E250" r:id="rId498" xr:uid="{00000000-0004-0000-0200-0000F1010000}"/>
    <hyperlink ref="D251" r:id="rId499" xr:uid="{00000000-0004-0000-0200-0000F2010000}"/>
    <hyperlink ref="E251" r:id="rId500" xr:uid="{00000000-0004-0000-0200-0000F301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4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7" customWidth="1"/>
    <col min="2" max="2" width="16" customWidth="1"/>
    <col min="3" max="3" width="7" customWidth="1"/>
    <col min="4" max="4" width="52" customWidth="1"/>
    <col min="5" max="5" width="10" customWidth="1"/>
    <col min="6" max="6" width="8" customWidth="1"/>
    <col min="7" max="7" width="36" customWidth="1"/>
  </cols>
  <sheetData>
    <row r="1" spans="1:7" ht="30" customHeight="1" x14ac:dyDescent="0.3">
      <c r="A1" s="4" t="s">
        <v>74</v>
      </c>
      <c r="B1" s="4" t="s">
        <v>360</v>
      </c>
      <c r="C1" s="4" t="s">
        <v>361</v>
      </c>
      <c r="D1" s="4" t="s">
        <v>6</v>
      </c>
      <c r="E1" s="4" t="s">
        <v>362</v>
      </c>
      <c r="F1" s="4" t="s">
        <v>3</v>
      </c>
      <c r="G1" s="4" t="s">
        <v>103</v>
      </c>
    </row>
    <row r="2" spans="1:7" x14ac:dyDescent="0.3">
      <c r="A2" s="16">
        <v>1</v>
      </c>
      <c r="B2" s="16" t="str">
        <f>TEXT(INDEX('Daily Log'!$A$2:$A$93,MATCH(1,'Daily Log'!$D$2:$D$93,0)),"d mmm")&amp;" – "&amp;TEXT(INDEX('Daily Log'!$A$2:$A$93,MATCH(7,'Daily Log'!$D$2:$D$93,0)),"d mmm")</f>
        <v>11 Oct – 17 Oct</v>
      </c>
      <c r="C2" s="16" t="s">
        <v>363</v>
      </c>
      <c r="D2" s="21" t="s">
        <v>364</v>
      </c>
      <c r="E2" s="16" t="s">
        <v>365</v>
      </c>
      <c r="F2" s="15"/>
      <c r="G2" s="19"/>
    </row>
    <row r="3" spans="1:7" x14ac:dyDescent="0.3">
      <c r="A3" s="16">
        <v>1</v>
      </c>
      <c r="B3" s="16" t="str">
        <f>TEXT(INDEX('Daily Log'!$A$2:$A$93,MATCH(1,'Daily Log'!$D$2:$D$93,0)),"d mmm")&amp;" – "&amp;TEXT(INDEX('Daily Log'!$A$2:$A$93,MATCH(7,'Daily Log'!$D$2:$D$93,0)),"d mmm")</f>
        <v>11 Oct – 17 Oct</v>
      </c>
      <c r="C3" s="16" t="s">
        <v>363</v>
      </c>
      <c r="D3" s="21" t="s">
        <v>366</v>
      </c>
      <c r="E3" s="16" t="s">
        <v>365</v>
      </c>
      <c r="F3" s="15"/>
      <c r="G3" s="19"/>
    </row>
    <row r="4" spans="1:7" x14ac:dyDescent="0.3">
      <c r="A4" s="16">
        <v>1</v>
      </c>
      <c r="B4" s="16" t="str">
        <f>TEXT(INDEX('Daily Log'!$A$2:$A$93,MATCH(1,'Daily Log'!$D$2:$D$93,0)),"d mmm")&amp;" – "&amp;TEXT(INDEX('Daily Log'!$A$2:$A$93,MATCH(7,'Daily Log'!$D$2:$D$93,0)),"d mmm")</f>
        <v>11 Oct – 17 Oct</v>
      </c>
      <c r="C4" s="16" t="s">
        <v>363</v>
      </c>
      <c r="D4" s="21" t="s">
        <v>367</v>
      </c>
      <c r="E4" s="16" t="s">
        <v>365</v>
      </c>
      <c r="F4" s="15"/>
      <c r="G4" s="19"/>
    </row>
    <row r="5" spans="1:7" x14ac:dyDescent="0.3">
      <c r="A5" s="16">
        <v>1</v>
      </c>
      <c r="B5" s="16" t="str">
        <f>TEXT(INDEX('Daily Log'!$A$2:$A$93,MATCH(1,'Daily Log'!$D$2:$D$93,0)),"d mmm")&amp;" – "&amp;TEXT(INDEX('Daily Log'!$A$2:$A$93,MATCH(7,'Daily Log'!$D$2:$D$93,0)),"d mmm")</f>
        <v>11 Oct – 17 Oct</v>
      </c>
      <c r="C5" s="16" t="s">
        <v>363</v>
      </c>
      <c r="D5" s="21" t="s">
        <v>21</v>
      </c>
      <c r="E5" s="16" t="s">
        <v>365</v>
      </c>
      <c r="F5" s="15"/>
      <c r="G5" s="19"/>
    </row>
    <row r="6" spans="1:7" x14ac:dyDescent="0.3">
      <c r="A6" s="16">
        <v>1</v>
      </c>
      <c r="B6" s="16" t="str">
        <f>TEXT(INDEX('Daily Log'!$A$2:$A$93,MATCH(1,'Daily Log'!$D$2:$D$93,0)),"d mmm")&amp;" – "&amp;TEXT(INDEX('Daily Log'!$A$2:$A$93,MATCH(7,'Daily Log'!$D$2:$D$93,0)),"d mmm")</f>
        <v>11 Oct – 17 Oct</v>
      </c>
      <c r="C6" s="16" t="s">
        <v>368</v>
      </c>
      <c r="D6" s="21" t="s">
        <v>369</v>
      </c>
      <c r="E6" s="16" t="s">
        <v>370</v>
      </c>
      <c r="F6" s="15"/>
      <c r="G6" s="19"/>
    </row>
    <row r="7" spans="1:7" x14ac:dyDescent="0.3">
      <c r="A7" s="16">
        <v>1</v>
      </c>
      <c r="B7" s="16" t="str">
        <f>TEXT(INDEX('Daily Log'!$A$2:$A$93,MATCH(1,'Daily Log'!$D$2:$D$93,0)),"d mmm")&amp;" – "&amp;TEXT(INDEX('Daily Log'!$A$2:$A$93,MATCH(7,'Daily Log'!$D$2:$D$93,0)),"d mmm")</f>
        <v>11 Oct – 17 Oct</v>
      </c>
      <c r="C7" s="16" t="s">
        <v>368</v>
      </c>
      <c r="D7" s="21" t="s">
        <v>371</v>
      </c>
      <c r="E7" s="16" t="s">
        <v>370</v>
      </c>
      <c r="F7" s="15"/>
      <c r="G7" s="19"/>
    </row>
    <row r="8" spans="1:7" ht="26.4" x14ac:dyDescent="0.3">
      <c r="A8" s="16">
        <v>1</v>
      </c>
      <c r="B8" s="16" t="str">
        <f>TEXT(INDEX('Daily Log'!$A$2:$A$93,MATCH(1,'Daily Log'!$D$2:$D$93,0)),"d mmm")&amp;" – "&amp;TEXT(INDEX('Daily Log'!$A$2:$A$93,MATCH(7,'Daily Log'!$D$2:$D$93,0)),"d mmm")</f>
        <v>11 Oct – 17 Oct</v>
      </c>
      <c r="C8" s="16" t="s">
        <v>372</v>
      </c>
      <c r="D8" s="21" t="s">
        <v>373</v>
      </c>
      <c r="E8" s="16" t="s">
        <v>370</v>
      </c>
      <c r="F8" s="15"/>
      <c r="G8" s="19"/>
    </row>
    <row r="9" spans="1:7" x14ac:dyDescent="0.3">
      <c r="A9" s="16">
        <v>1</v>
      </c>
      <c r="B9" s="16" t="str">
        <f>TEXT(INDEX('Daily Log'!$A$2:$A$93,MATCH(1,'Daily Log'!$D$2:$D$93,0)),"d mmm")&amp;" – "&amp;TEXT(INDEX('Daily Log'!$A$2:$A$93,MATCH(7,'Daily Log'!$D$2:$D$93,0)),"d mmm")</f>
        <v>11 Oct – 17 Oct</v>
      </c>
      <c r="C9" s="16" t="s">
        <v>372</v>
      </c>
      <c r="D9" s="21" t="s">
        <v>374</v>
      </c>
      <c r="E9" s="16" t="s">
        <v>370</v>
      </c>
      <c r="F9" s="15"/>
      <c r="G9" s="19"/>
    </row>
    <row r="10" spans="1:7" x14ac:dyDescent="0.3">
      <c r="A10" s="14">
        <v>2</v>
      </c>
      <c r="B10" s="14" t="str">
        <f>TEXT(INDEX('Daily Log'!$A$2:$A$93,MATCH(8,'Daily Log'!$D$2:$D$93,0)),"d mmm")&amp;" – "&amp;TEXT(INDEX('Daily Log'!$A$2:$A$93,MATCH(14,'Daily Log'!$D$2:$D$93,0)),"d mmm")</f>
        <v>18 Oct – 24 Oct</v>
      </c>
      <c r="C10" s="14" t="s">
        <v>363</v>
      </c>
      <c r="D10" s="17" t="s">
        <v>375</v>
      </c>
      <c r="E10" s="14" t="s">
        <v>365</v>
      </c>
      <c r="F10" s="15"/>
      <c r="G10" s="19"/>
    </row>
    <row r="11" spans="1:7" x14ac:dyDescent="0.3">
      <c r="A11" s="14">
        <v>2</v>
      </c>
      <c r="B11" s="14" t="str">
        <f>TEXT(INDEX('Daily Log'!$A$2:$A$93,MATCH(8,'Daily Log'!$D$2:$D$93,0)),"d mmm")&amp;" – "&amp;TEXT(INDEX('Daily Log'!$A$2:$A$93,MATCH(14,'Daily Log'!$D$2:$D$93,0)),"d mmm")</f>
        <v>18 Oct – 24 Oct</v>
      </c>
      <c r="C11" s="14" t="s">
        <v>363</v>
      </c>
      <c r="D11" s="17" t="s">
        <v>376</v>
      </c>
      <c r="E11" s="14" t="s">
        <v>365</v>
      </c>
      <c r="F11" s="15"/>
      <c r="G11" s="19"/>
    </row>
    <row r="12" spans="1:7" x14ac:dyDescent="0.3">
      <c r="A12" s="14">
        <v>2</v>
      </c>
      <c r="B12" s="14" t="str">
        <f>TEXT(INDEX('Daily Log'!$A$2:$A$93,MATCH(8,'Daily Log'!$D$2:$D$93,0)),"d mmm")&amp;" – "&amp;TEXT(INDEX('Daily Log'!$A$2:$A$93,MATCH(14,'Daily Log'!$D$2:$D$93,0)),"d mmm")</f>
        <v>18 Oct – 24 Oct</v>
      </c>
      <c r="C12" s="14" t="s">
        <v>368</v>
      </c>
      <c r="D12" s="17" t="s">
        <v>377</v>
      </c>
      <c r="E12" s="14" t="s">
        <v>370</v>
      </c>
      <c r="F12" s="15"/>
      <c r="G12" s="19"/>
    </row>
    <row r="13" spans="1:7" x14ac:dyDescent="0.3">
      <c r="A13" s="14">
        <v>2</v>
      </c>
      <c r="B13" s="14" t="str">
        <f>TEXT(INDEX('Daily Log'!$A$2:$A$93,MATCH(8,'Daily Log'!$D$2:$D$93,0)),"d mmm")&amp;" – "&amp;TEXT(INDEX('Daily Log'!$A$2:$A$93,MATCH(14,'Daily Log'!$D$2:$D$93,0)),"d mmm")</f>
        <v>18 Oct – 24 Oct</v>
      </c>
      <c r="C13" s="14" t="s">
        <v>368</v>
      </c>
      <c r="D13" s="17" t="s">
        <v>378</v>
      </c>
      <c r="E13" s="14" t="s">
        <v>370</v>
      </c>
      <c r="F13" s="15"/>
      <c r="G13" s="19"/>
    </row>
    <row r="14" spans="1:7" x14ac:dyDescent="0.3">
      <c r="A14" s="14">
        <v>2</v>
      </c>
      <c r="B14" s="14" t="str">
        <f>TEXT(INDEX('Daily Log'!$A$2:$A$93,MATCH(8,'Daily Log'!$D$2:$D$93,0)),"d mmm")&amp;" – "&amp;TEXT(INDEX('Daily Log'!$A$2:$A$93,MATCH(14,'Daily Log'!$D$2:$D$93,0)),"d mmm")</f>
        <v>18 Oct – 24 Oct</v>
      </c>
      <c r="C14" s="14" t="s">
        <v>372</v>
      </c>
      <c r="D14" s="17" t="s">
        <v>379</v>
      </c>
      <c r="E14" s="14" t="s">
        <v>370</v>
      </c>
      <c r="F14" s="15"/>
      <c r="G14" s="19"/>
    </row>
    <row r="15" spans="1:7" x14ac:dyDescent="0.3">
      <c r="A15" s="14">
        <v>2</v>
      </c>
      <c r="B15" s="14" t="str">
        <f>TEXT(INDEX('Daily Log'!$A$2:$A$93,MATCH(8,'Daily Log'!$D$2:$D$93,0)),"d mmm")&amp;" – "&amp;TEXT(INDEX('Daily Log'!$A$2:$A$93,MATCH(14,'Daily Log'!$D$2:$D$93,0)),"d mmm")</f>
        <v>18 Oct – 24 Oct</v>
      </c>
      <c r="C15" s="14" t="s">
        <v>372</v>
      </c>
      <c r="D15" s="17" t="s">
        <v>380</v>
      </c>
      <c r="E15" s="14" t="s">
        <v>370</v>
      </c>
      <c r="F15" s="15"/>
      <c r="G15" s="19"/>
    </row>
    <row r="16" spans="1:7" x14ac:dyDescent="0.3">
      <c r="A16" s="16">
        <v>3</v>
      </c>
      <c r="B16" s="16" t="str">
        <f>TEXT(INDEX('Daily Log'!$A$2:$A$93,MATCH(15,'Daily Log'!$D$2:$D$93,0)),"d mmm")&amp;" – "&amp;TEXT(INDEX('Daily Log'!$A$2:$A$93,MATCH(21,'Daily Log'!$D$2:$D$93,0)),"d mmm")</f>
        <v>25 Oct – 31 Oct</v>
      </c>
      <c r="C16" s="16" t="s">
        <v>363</v>
      </c>
      <c r="D16" s="21" t="s">
        <v>381</v>
      </c>
      <c r="E16" s="16" t="s">
        <v>365</v>
      </c>
      <c r="F16" s="15"/>
      <c r="G16" s="19"/>
    </row>
    <row r="17" spans="1:7" x14ac:dyDescent="0.3">
      <c r="A17" s="16">
        <v>3</v>
      </c>
      <c r="B17" s="16" t="str">
        <f>TEXT(INDEX('Daily Log'!$A$2:$A$93,MATCH(15,'Daily Log'!$D$2:$D$93,0)),"d mmm")&amp;" – "&amp;TEXT(INDEX('Daily Log'!$A$2:$A$93,MATCH(21,'Daily Log'!$D$2:$D$93,0)),"d mmm")</f>
        <v>25 Oct – 31 Oct</v>
      </c>
      <c r="C17" s="16" t="s">
        <v>363</v>
      </c>
      <c r="D17" s="21" t="s">
        <v>382</v>
      </c>
      <c r="E17" s="16" t="s">
        <v>365</v>
      </c>
      <c r="F17" s="15"/>
      <c r="G17" s="19"/>
    </row>
    <row r="18" spans="1:7" x14ac:dyDescent="0.3">
      <c r="A18" s="16">
        <v>3</v>
      </c>
      <c r="B18" s="16" t="str">
        <f>TEXT(INDEX('Daily Log'!$A$2:$A$93,MATCH(15,'Daily Log'!$D$2:$D$93,0)),"d mmm")&amp;" – "&amp;TEXT(INDEX('Daily Log'!$A$2:$A$93,MATCH(21,'Daily Log'!$D$2:$D$93,0)),"d mmm")</f>
        <v>25 Oct – 31 Oct</v>
      </c>
      <c r="C18" s="16" t="s">
        <v>368</v>
      </c>
      <c r="D18" s="21" t="s">
        <v>383</v>
      </c>
      <c r="E18" s="16" t="s">
        <v>370</v>
      </c>
      <c r="F18" s="15"/>
      <c r="G18" s="19"/>
    </row>
    <row r="19" spans="1:7" x14ac:dyDescent="0.3">
      <c r="A19" s="16">
        <v>3</v>
      </c>
      <c r="B19" s="16" t="str">
        <f>TEXT(INDEX('Daily Log'!$A$2:$A$93,MATCH(15,'Daily Log'!$D$2:$D$93,0)),"d mmm")&amp;" – "&amp;TEXT(INDEX('Daily Log'!$A$2:$A$93,MATCH(21,'Daily Log'!$D$2:$D$93,0)),"d mmm")</f>
        <v>25 Oct – 31 Oct</v>
      </c>
      <c r="C19" s="16" t="s">
        <v>368</v>
      </c>
      <c r="D19" s="21" t="s">
        <v>384</v>
      </c>
      <c r="E19" s="16" t="s">
        <v>370</v>
      </c>
      <c r="F19" s="15"/>
      <c r="G19" s="19"/>
    </row>
    <row r="20" spans="1:7" x14ac:dyDescent="0.3">
      <c r="A20" s="16">
        <v>3</v>
      </c>
      <c r="B20" s="16" t="str">
        <f>TEXT(INDEX('Daily Log'!$A$2:$A$93,MATCH(15,'Daily Log'!$D$2:$D$93,0)),"d mmm")&amp;" – "&amp;TEXT(INDEX('Daily Log'!$A$2:$A$93,MATCH(21,'Daily Log'!$D$2:$D$93,0)),"d mmm")</f>
        <v>25 Oct – 31 Oct</v>
      </c>
      <c r="C20" s="16" t="s">
        <v>368</v>
      </c>
      <c r="D20" s="21" t="s">
        <v>385</v>
      </c>
      <c r="E20" s="16" t="s">
        <v>370</v>
      </c>
      <c r="F20" s="15"/>
      <c r="G20" s="19"/>
    </row>
    <row r="21" spans="1:7" x14ac:dyDescent="0.3">
      <c r="A21" s="16">
        <v>3</v>
      </c>
      <c r="B21" s="16" t="str">
        <f>TEXT(INDEX('Daily Log'!$A$2:$A$93,MATCH(15,'Daily Log'!$D$2:$D$93,0)),"d mmm")&amp;" – "&amp;TEXT(INDEX('Daily Log'!$A$2:$A$93,MATCH(21,'Daily Log'!$D$2:$D$93,0)),"d mmm")</f>
        <v>25 Oct – 31 Oct</v>
      </c>
      <c r="C21" s="16" t="s">
        <v>372</v>
      </c>
      <c r="D21" s="21" t="s">
        <v>386</v>
      </c>
      <c r="E21" s="16" t="s">
        <v>370</v>
      </c>
      <c r="F21" s="15"/>
      <c r="G21" s="19"/>
    </row>
    <row r="22" spans="1:7" x14ac:dyDescent="0.3">
      <c r="A22" s="16">
        <v>3</v>
      </c>
      <c r="B22" s="16" t="str">
        <f>TEXT(INDEX('Daily Log'!$A$2:$A$93,MATCH(15,'Daily Log'!$D$2:$D$93,0)),"d mmm")&amp;" – "&amp;TEXT(INDEX('Daily Log'!$A$2:$A$93,MATCH(21,'Daily Log'!$D$2:$D$93,0)),"d mmm")</f>
        <v>25 Oct – 31 Oct</v>
      </c>
      <c r="C22" s="16" t="s">
        <v>372</v>
      </c>
      <c r="D22" s="21" t="s">
        <v>387</v>
      </c>
      <c r="E22" s="16" t="s">
        <v>370</v>
      </c>
      <c r="F22" s="15"/>
      <c r="G22" s="19"/>
    </row>
    <row r="23" spans="1:7" x14ac:dyDescent="0.3">
      <c r="A23" s="14">
        <v>4</v>
      </c>
      <c r="B23" s="14" t="str">
        <f>TEXT(INDEX('Daily Log'!$A$2:$A$93,MATCH(22,'Daily Log'!$D$2:$D$93,0)),"d mmm")&amp;" – "&amp;TEXT(INDEX('Daily Log'!$A$2:$A$93,MATCH(28,'Daily Log'!$D$2:$D$93,0)),"d mmm")</f>
        <v>1 Nov – 7 Nov</v>
      </c>
      <c r="C23" s="14" t="s">
        <v>363</v>
      </c>
      <c r="D23" s="17" t="s">
        <v>388</v>
      </c>
      <c r="E23" s="14" t="s">
        <v>365</v>
      </c>
      <c r="F23" s="15"/>
      <c r="G23" s="19"/>
    </row>
    <row r="24" spans="1:7" x14ac:dyDescent="0.3">
      <c r="A24" s="14">
        <v>4</v>
      </c>
      <c r="B24" s="14" t="str">
        <f>TEXT(INDEX('Daily Log'!$A$2:$A$93,MATCH(22,'Daily Log'!$D$2:$D$93,0)),"d mmm")&amp;" – "&amp;TEXT(INDEX('Daily Log'!$A$2:$A$93,MATCH(28,'Daily Log'!$D$2:$D$93,0)),"d mmm")</f>
        <v>1 Nov – 7 Nov</v>
      </c>
      <c r="C24" s="14" t="s">
        <v>363</v>
      </c>
      <c r="D24" s="17" t="s">
        <v>34</v>
      </c>
      <c r="E24" s="14" t="s">
        <v>365</v>
      </c>
      <c r="F24" s="15"/>
      <c r="G24" s="19"/>
    </row>
    <row r="25" spans="1:7" x14ac:dyDescent="0.3">
      <c r="A25" s="14">
        <v>4</v>
      </c>
      <c r="B25" s="14" t="str">
        <f>TEXT(INDEX('Daily Log'!$A$2:$A$93,MATCH(22,'Daily Log'!$D$2:$D$93,0)),"d mmm")&amp;" – "&amp;TEXT(INDEX('Daily Log'!$A$2:$A$93,MATCH(28,'Daily Log'!$D$2:$D$93,0)),"d mmm")</f>
        <v>1 Nov – 7 Nov</v>
      </c>
      <c r="C25" s="14" t="s">
        <v>363</v>
      </c>
      <c r="D25" s="17" t="s">
        <v>36</v>
      </c>
      <c r="E25" s="14" t="s">
        <v>365</v>
      </c>
      <c r="F25" s="15"/>
      <c r="G25" s="19"/>
    </row>
    <row r="26" spans="1:7" x14ac:dyDescent="0.3">
      <c r="A26" s="14">
        <v>4</v>
      </c>
      <c r="B26" s="14" t="str">
        <f>TEXT(INDEX('Daily Log'!$A$2:$A$93,MATCH(22,'Daily Log'!$D$2:$D$93,0)),"d mmm")&amp;" – "&amp;TEXT(INDEX('Daily Log'!$A$2:$A$93,MATCH(28,'Daily Log'!$D$2:$D$93,0)),"d mmm")</f>
        <v>1 Nov – 7 Nov</v>
      </c>
      <c r="C26" s="14" t="s">
        <v>368</v>
      </c>
      <c r="D26" s="17" t="s">
        <v>389</v>
      </c>
      <c r="E26" s="14" t="s">
        <v>370</v>
      </c>
      <c r="F26" s="15"/>
      <c r="G26" s="19"/>
    </row>
    <row r="27" spans="1:7" x14ac:dyDescent="0.3">
      <c r="A27" s="14">
        <v>4</v>
      </c>
      <c r="B27" s="14" t="str">
        <f>TEXT(INDEX('Daily Log'!$A$2:$A$93,MATCH(22,'Daily Log'!$D$2:$D$93,0)),"d mmm")&amp;" – "&amp;TEXT(INDEX('Daily Log'!$A$2:$A$93,MATCH(28,'Daily Log'!$D$2:$D$93,0)),"d mmm")</f>
        <v>1 Nov – 7 Nov</v>
      </c>
      <c r="C27" s="14" t="s">
        <v>368</v>
      </c>
      <c r="D27" s="17" t="s">
        <v>390</v>
      </c>
      <c r="E27" s="14" t="s">
        <v>391</v>
      </c>
      <c r="F27" s="15"/>
      <c r="G27" s="19"/>
    </row>
    <row r="28" spans="1:7" x14ac:dyDescent="0.3">
      <c r="A28" s="14">
        <v>4</v>
      </c>
      <c r="B28" s="14" t="str">
        <f>TEXT(INDEX('Daily Log'!$A$2:$A$93,MATCH(22,'Daily Log'!$D$2:$D$93,0)),"d mmm")&amp;" – "&amp;TEXT(INDEX('Daily Log'!$A$2:$A$93,MATCH(28,'Daily Log'!$D$2:$D$93,0)),"d mmm")</f>
        <v>1 Nov – 7 Nov</v>
      </c>
      <c r="C28" s="14" t="s">
        <v>372</v>
      </c>
      <c r="D28" s="17" t="s">
        <v>392</v>
      </c>
      <c r="E28" s="14" t="s">
        <v>391</v>
      </c>
      <c r="F28" s="15"/>
      <c r="G28" s="19"/>
    </row>
    <row r="29" spans="1:7" x14ac:dyDescent="0.3">
      <c r="A29" s="16">
        <v>5</v>
      </c>
      <c r="B29" s="16" t="str">
        <f>TEXT(INDEX('Daily Log'!$A$2:$A$93,MATCH(29,'Daily Log'!$D$2:$D$93,0)),"d mmm")&amp;" – "&amp;TEXT(INDEX('Daily Log'!$A$2:$A$93,MATCH(35,'Daily Log'!$D$2:$D$93,0)),"d mmm")</f>
        <v>8 Nov – 14 Nov</v>
      </c>
      <c r="C29" s="16" t="s">
        <v>363</v>
      </c>
      <c r="D29" s="21" t="s">
        <v>393</v>
      </c>
      <c r="E29" s="16" t="s">
        <v>365</v>
      </c>
      <c r="F29" s="15"/>
      <c r="G29" s="19"/>
    </row>
    <row r="30" spans="1:7" x14ac:dyDescent="0.3">
      <c r="A30" s="16">
        <v>5</v>
      </c>
      <c r="B30" s="16" t="str">
        <f>TEXT(INDEX('Daily Log'!$A$2:$A$93,MATCH(29,'Daily Log'!$D$2:$D$93,0)),"d mmm")&amp;" – "&amp;TEXT(INDEX('Daily Log'!$A$2:$A$93,MATCH(35,'Daily Log'!$D$2:$D$93,0)),"d mmm")</f>
        <v>8 Nov – 14 Nov</v>
      </c>
      <c r="C30" s="16" t="s">
        <v>363</v>
      </c>
      <c r="D30" s="21" t="s">
        <v>394</v>
      </c>
      <c r="E30" s="16" t="s">
        <v>365</v>
      </c>
      <c r="F30" s="15"/>
      <c r="G30" s="19"/>
    </row>
    <row r="31" spans="1:7" x14ac:dyDescent="0.3">
      <c r="A31" s="16">
        <v>5</v>
      </c>
      <c r="B31" s="16" t="str">
        <f>TEXT(INDEX('Daily Log'!$A$2:$A$93,MATCH(29,'Daily Log'!$D$2:$D$93,0)),"d mmm")&amp;" – "&amp;TEXT(INDEX('Daily Log'!$A$2:$A$93,MATCH(35,'Daily Log'!$D$2:$D$93,0)),"d mmm")</f>
        <v>8 Nov – 14 Nov</v>
      </c>
      <c r="C31" s="16" t="s">
        <v>363</v>
      </c>
      <c r="D31" s="21" t="s">
        <v>395</v>
      </c>
      <c r="E31" s="16" t="s">
        <v>365</v>
      </c>
      <c r="F31" s="15"/>
      <c r="G31" s="19"/>
    </row>
    <row r="32" spans="1:7" x14ac:dyDescent="0.3">
      <c r="A32" s="16">
        <v>5</v>
      </c>
      <c r="B32" s="16" t="str">
        <f>TEXT(INDEX('Daily Log'!$A$2:$A$93,MATCH(29,'Daily Log'!$D$2:$D$93,0)),"d mmm")&amp;" – "&amp;TEXT(INDEX('Daily Log'!$A$2:$A$93,MATCH(35,'Daily Log'!$D$2:$D$93,0)),"d mmm")</f>
        <v>8 Nov – 14 Nov</v>
      </c>
      <c r="C32" s="16" t="s">
        <v>368</v>
      </c>
      <c r="D32" s="21" t="s">
        <v>396</v>
      </c>
      <c r="E32" s="16" t="s">
        <v>391</v>
      </c>
      <c r="F32" s="15"/>
      <c r="G32" s="19"/>
    </row>
    <row r="33" spans="1:7" x14ac:dyDescent="0.3">
      <c r="A33" s="16">
        <v>5</v>
      </c>
      <c r="B33" s="16" t="str">
        <f>TEXT(INDEX('Daily Log'!$A$2:$A$93,MATCH(29,'Daily Log'!$D$2:$D$93,0)),"d mmm")&amp;" – "&amp;TEXT(INDEX('Daily Log'!$A$2:$A$93,MATCH(35,'Daily Log'!$D$2:$D$93,0)),"d mmm")</f>
        <v>8 Nov – 14 Nov</v>
      </c>
      <c r="C33" s="16" t="s">
        <v>368</v>
      </c>
      <c r="D33" s="21" t="s">
        <v>397</v>
      </c>
      <c r="E33" s="16" t="s">
        <v>391</v>
      </c>
      <c r="F33" s="15"/>
      <c r="G33" s="19"/>
    </row>
    <row r="34" spans="1:7" x14ac:dyDescent="0.3">
      <c r="A34" s="16">
        <v>5</v>
      </c>
      <c r="B34" s="16" t="str">
        <f>TEXT(INDEX('Daily Log'!$A$2:$A$93,MATCH(29,'Daily Log'!$D$2:$D$93,0)),"d mmm")&amp;" – "&amp;TEXT(INDEX('Daily Log'!$A$2:$A$93,MATCH(35,'Daily Log'!$D$2:$D$93,0)),"d mmm")</f>
        <v>8 Nov – 14 Nov</v>
      </c>
      <c r="C34" s="16" t="s">
        <v>372</v>
      </c>
      <c r="D34" s="21" t="s">
        <v>398</v>
      </c>
      <c r="E34" s="16" t="s">
        <v>391</v>
      </c>
      <c r="F34" s="15"/>
      <c r="G34" s="19"/>
    </row>
    <row r="35" spans="1:7" x14ac:dyDescent="0.3">
      <c r="A35" s="16">
        <v>5</v>
      </c>
      <c r="B35" s="16" t="str">
        <f>TEXT(INDEX('Daily Log'!$A$2:$A$93,MATCH(29,'Daily Log'!$D$2:$D$93,0)),"d mmm")&amp;" – "&amp;TEXT(INDEX('Daily Log'!$A$2:$A$93,MATCH(35,'Daily Log'!$D$2:$D$93,0)),"d mmm")</f>
        <v>8 Nov – 14 Nov</v>
      </c>
      <c r="C35" s="16" t="s">
        <v>372</v>
      </c>
      <c r="D35" s="21" t="s">
        <v>399</v>
      </c>
      <c r="E35" s="16" t="s">
        <v>391</v>
      </c>
      <c r="F35" s="15"/>
      <c r="G35" s="19"/>
    </row>
    <row r="36" spans="1:7" x14ac:dyDescent="0.3">
      <c r="A36" s="14">
        <v>6</v>
      </c>
      <c r="B36" s="14" t="str">
        <f>TEXT(INDEX('Daily Log'!$A$2:$A$93,MATCH(36,'Daily Log'!$D$2:$D$93,0)),"d mmm")&amp;" – "&amp;TEXT(INDEX('Daily Log'!$A$2:$A$93,MATCH(42,'Daily Log'!$D$2:$D$93,0)),"d mmm")</f>
        <v>15 Nov – 21 Nov</v>
      </c>
      <c r="C36" s="14" t="s">
        <v>363</v>
      </c>
      <c r="D36" s="17" t="s">
        <v>400</v>
      </c>
      <c r="E36" s="14" t="s">
        <v>365</v>
      </c>
      <c r="F36" s="15"/>
      <c r="G36" s="19"/>
    </row>
    <row r="37" spans="1:7" x14ac:dyDescent="0.3">
      <c r="A37" s="14">
        <v>6</v>
      </c>
      <c r="B37" s="14" t="str">
        <f>TEXT(INDEX('Daily Log'!$A$2:$A$93,MATCH(36,'Daily Log'!$D$2:$D$93,0)),"d mmm")&amp;" – "&amp;TEXT(INDEX('Daily Log'!$A$2:$A$93,MATCH(42,'Daily Log'!$D$2:$D$93,0)),"d mmm")</f>
        <v>15 Nov – 21 Nov</v>
      </c>
      <c r="C37" s="14" t="s">
        <v>368</v>
      </c>
      <c r="D37" s="17" t="s">
        <v>401</v>
      </c>
      <c r="E37" s="14" t="s">
        <v>391</v>
      </c>
      <c r="F37" s="15"/>
      <c r="G37" s="19"/>
    </row>
    <row r="38" spans="1:7" x14ac:dyDescent="0.3">
      <c r="A38" s="14">
        <v>6</v>
      </c>
      <c r="B38" s="14" t="str">
        <f>TEXT(INDEX('Daily Log'!$A$2:$A$93,MATCH(36,'Daily Log'!$D$2:$D$93,0)),"d mmm")&amp;" – "&amp;TEXT(INDEX('Daily Log'!$A$2:$A$93,MATCH(42,'Daily Log'!$D$2:$D$93,0)),"d mmm")</f>
        <v>15 Nov – 21 Nov</v>
      </c>
      <c r="C38" s="14" t="s">
        <v>368</v>
      </c>
      <c r="D38" s="17" t="s">
        <v>402</v>
      </c>
      <c r="E38" s="14" t="s">
        <v>391</v>
      </c>
      <c r="F38" s="15"/>
      <c r="G38" s="19"/>
    </row>
    <row r="39" spans="1:7" x14ac:dyDescent="0.3">
      <c r="A39" s="14">
        <v>6</v>
      </c>
      <c r="B39" s="14" t="str">
        <f>TEXT(INDEX('Daily Log'!$A$2:$A$93,MATCH(36,'Daily Log'!$D$2:$D$93,0)),"d mmm")&amp;" – "&amp;TEXT(INDEX('Daily Log'!$A$2:$A$93,MATCH(42,'Daily Log'!$D$2:$D$93,0)),"d mmm")</f>
        <v>15 Nov – 21 Nov</v>
      </c>
      <c r="C39" s="14" t="s">
        <v>372</v>
      </c>
      <c r="D39" s="17" t="s">
        <v>403</v>
      </c>
      <c r="E39" s="14" t="s">
        <v>391</v>
      </c>
      <c r="F39" s="15"/>
      <c r="G39" s="19"/>
    </row>
    <row r="40" spans="1:7" x14ac:dyDescent="0.3">
      <c r="A40" s="14">
        <v>6</v>
      </c>
      <c r="B40" s="14" t="str">
        <f>TEXT(INDEX('Daily Log'!$A$2:$A$93,MATCH(36,'Daily Log'!$D$2:$D$93,0)),"d mmm")&amp;" – "&amp;TEXT(INDEX('Daily Log'!$A$2:$A$93,MATCH(42,'Daily Log'!$D$2:$D$93,0)),"d mmm")</f>
        <v>15 Nov – 21 Nov</v>
      </c>
      <c r="C40" s="14" t="s">
        <v>372</v>
      </c>
      <c r="D40" s="17" t="s">
        <v>404</v>
      </c>
      <c r="E40" s="14" t="s">
        <v>391</v>
      </c>
      <c r="F40" s="15"/>
      <c r="G40" s="19"/>
    </row>
    <row r="41" spans="1:7" x14ac:dyDescent="0.3">
      <c r="A41" s="16">
        <v>7</v>
      </c>
      <c r="B41" s="16" t="str">
        <f>TEXT(INDEX('Daily Log'!$A$2:$A$93,MATCH(43,'Daily Log'!$D$2:$D$93,0)),"d mmm")&amp;" – "&amp;TEXT(INDEX('Daily Log'!$A$2:$A$93,MATCH(49,'Daily Log'!$D$2:$D$93,0)),"d mmm")</f>
        <v>22 Nov – 28 Nov</v>
      </c>
      <c r="C41" s="16" t="s">
        <v>363</v>
      </c>
      <c r="D41" s="21" t="s">
        <v>405</v>
      </c>
      <c r="E41" s="16" t="s">
        <v>365</v>
      </c>
      <c r="F41" s="15"/>
      <c r="G41" s="19"/>
    </row>
    <row r="42" spans="1:7" x14ac:dyDescent="0.3">
      <c r="A42" s="16">
        <v>7</v>
      </c>
      <c r="B42" s="16" t="str">
        <f>TEXT(INDEX('Daily Log'!$A$2:$A$93,MATCH(43,'Daily Log'!$D$2:$D$93,0)),"d mmm")&amp;" – "&amp;TEXT(INDEX('Daily Log'!$A$2:$A$93,MATCH(49,'Daily Log'!$D$2:$D$93,0)),"d mmm")</f>
        <v>22 Nov – 28 Nov</v>
      </c>
      <c r="C42" s="16" t="s">
        <v>363</v>
      </c>
      <c r="D42" s="21" t="s">
        <v>49</v>
      </c>
      <c r="E42" s="16" t="s">
        <v>365</v>
      </c>
      <c r="F42" s="15"/>
      <c r="G42" s="19"/>
    </row>
    <row r="43" spans="1:7" x14ac:dyDescent="0.3">
      <c r="A43" s="16">
        <v>7</v>
      </c>
      <c r="B43" s="16" t="str">
        <f>TEXT(INDEX('Daily Log'!$A$2:$A$93,MATCH(43,'Daily Log'!$D$2:$D$93,0)),"d mmm")&amp;" – "&amp;TEXT(INDEX('Daily Log'!$A$2:$A$93,MATCH(49,'Daily Log'!$D$2:$D$93,0)),"d mmm")</f>
        <v>22 Nov – 28 Nov</v>
      </c>
      <c r="C43" s="16" t="s">
        <v>363</v>
      </c>
      <c r="D43" s="21" t="s">
        <v>51</v>
      </c>
      <c r="E43" s="16" t="s">
        <v>365</v>
      </c>
      <c r="F43" s="15"/>
      <c r="G43" s="19"/>
    </row>
    <row r="44" spans="1:7" x14ac:dyDescent="0.3">
      <c r="A44" s="16">
        <v>7</v>
      </c>
      <c r="B44" s="16" t="str">
        <f>TEXT(INDEX('Daily Log'!$A$2:$A$93,MATCH(43,'Daily Log'!$D$2:$D$93,0)),"d mmm")&amp;" – "&amp;TEXT(INDEX('Daily Log'!$A$2:$A$93,MATCH(49,'Daily Log'!$D$2:$D$93,0)),"d mmm")</f>
        <v>22 Nov – 28 Nov</v>
      </c>
      <c r="C44" s="16" t="s">
        <v>368</v>
      </c>
      <c r="D44" s="21" t="s">
        <v>406</v>
      </c>
      <c r="E44" s="16" t="s">
        <v>391</v>
      </c>
      <c r="F44" s="15"/>
      <c r="G44" s="19"/>
    </row>
    <row r="45" spans="1:7" x14ac:dyDescent="0.3">
      <c r="A45" s="16">
        <v>7</v>
      </c>
      <c r="B45" s="16" t="str">
        <f>TEXT(INDEX('Daily Log'!$A$2:$A$93,MATCH(43,'Daily Log'!$D$2:$D$93,0)),"d mmm")&amp;" – "&amp;TEXT(INDEX('Daily Log'!$A$2:$A$93,MATCH(49,'Daily Log'!$D$2:$D$93,0)),"d mmm")</f>
        <v>22 Nov – 28 Nov</v>
      </c>
      <c r="C45" s="16" t="s">
        <v>368</v>
      </c>
      <c r="D45" s="21" t="s">
        <v>407</v>
      </c>
      <c r="E45" s="16" t="s">
        <v>391</v>
      </c>
      <c r="F45" s="15"/>
      <c r="G45" s="19"/>
    </row>
    <row r="46" spans="1:7" x14ac:dyDescent="0.3">
      <c r="A46" s="16">
        <v>7</v>
      </c>
      <c r="B46" s="16" t="str">
        <f>TEXT(INDEX('Daily Log'!$A$2:$A$93,MATCH(43,'Daily Log'!$D$2:$D$93,0)),"d mmm")&amp;" – "&amp;TEXT(INDEX('Daily Log'!$A$2:$A$93,MATCH(49,'Daily Log'!$D$2:$D$93,0)),"d mmm")</f>
        <v>22 Nov – 28 Nov</v>
      </c>
      <c r="C46" s="16" t="s">
        <v>368</v>
      </c>
      <c r="D46" s="21" t="s">
        <v>408</v>
      </c>
      <c r="E46" s="16" t="s">
        <v>391</v>
      </c>
      <c r="F46" s="15"/>
      <c r="G46" s="19"/>
    </row>
    <row r="47" spans="1:7" x14ac:dyDescent="0.3">
      <c r="A47" s="16">
        <v>7</v>
      </c>
      <c r="B47" s="16" t="str">
        <f>TEXT(INDEX('Daily Log'!$A$2:$A$93,MATCH(43,'Daily Log'!$D$2:$D$93,0)),"d mmm")&amp;" – "&amp;TEXT(INDEX('Daily Log'!$A$2:$A$93,MATCH(49,'Daily Log'!$D$2:$D$93,0)),"d mmm")</f>
        <v>22 Nov – 28 Nov</v>
      </c>
      <c r="C47" s="16" t="s">
        <v>372</v>
      </c>
      <c r="D47" s="21" t="s">
        <v>409</v>
      </c>
      <c r="E47" s="16" t="s">
        <v>391</v>
      </c>
      <c r="F47" s="15"/>
      <c r="G47" s="19"/>
    </row>
    <row r="48" spans="1:7" x14ac:dyDescent="0.3">
      <c r="A48" s="16">
        <v>7</v>
      </c>
      <c r="B48" s="16" t="str">
        <f>TEXT(INDEX('Daily Log'!$A$2:$A$93,MATCH(43,'Daily Log'!$D$2:$D$93,0)),"d mmm")&amp;" – "&amp;TEXT(INDEX('Daily Log'!$A$2:$A$93,MATCH(49,'Daily Log'!$D$2:$D$93,0)),"d mmm")</f>
        <v>22 Nov – 28 Nov</v>
      </c>
      <c r="C48" s="16" t="s">
        <v>372</v>
      </c>
      <c r="D48" s="21" t="s">
        <v>410</v>
      </c>
      <c r="E48" s="16" t="s">
        <v>391</v>
      </c>
      <c r="F48" s="15"/>
      <c r="G48" s="19"/>
    </row>
    <row r="49" spans="1:7" x14ac:dyDescent="0.3">
      <c r="A49" s="14">
        <v>8</v>
      </c>
      <c r="B49" s="14" t="str">
        <f>TEXT(INDEX('Daily Log'!$A$2:$A$93,MATCH(50,'Daily Log'!$D$2:$D$93,0)),"d mmm")&amp;" – "&amp;TEXT(INDEX('Daily Log'!$A$2:$A$93,MATCH(56,'Daily Log'!$D$2:$D$93,0)),"d mmm")</f>
        <v>29 Nov – 5 Dec</v>
      </c>
      <c r="C49" s="14" t="s">
        <v>363</v>
      </c>
      <c r="D49" s="17" t="s">
        <v>411</v>
      </c>
      <c r="E49" s="14" t="s">
        <v>365</v>
      </c>
      <c r="F49" s="15"/>
      <c r="G49" s="19"/>
    </row>
    <row r="50" spans="1:7" x14ac:dyDescent="0.3">
      <c r="A50" s="14">
        <v>8</v>
      </c>
      <c r="B50" s="14" t="str">
        <f>TEXT(INDEX('Daily Log'!$A$2:$A$93,MATCH(50,'Daily Log'!$D$2:$D$93,0)),"d mmm")&amp;" – "&amp;TEXT(INDEX('Daily Log'!$A$2:$A$93,MATCH(56,'Daily Log'!$D$2:$D$93,0)),"d mmm")</f>
        <v>29 Nov – 5 Dec</v>
      </c>
      <c r="C50" s="14" t="s">
        <v>363</v>
      </c>
      <c r="D50" s="17" t="s">
        <v>412</v>
      </c>
      <c r="E50" s="14" t="s">
        <v>365</v>
      </c>
      <c r="F50" s="15"/>
      <c r="G50" s="19"/>
    </row>
    <row r="51" spans="1:7" x14ac:dyDescent="0.3">
      <c r="A51" s="14">
        <v>8</v>
      </c>
      <c r="B51" s="14" t="str">
        <f>TEXT(INDEX('Daily Log'!$A$2:$A$93,MATCH(50,'Daily Log'!$D$2:$D$93,0)),"d mmm")&amp;" – "&amp;TEXT(INDEX('Daily Log'!$A$2:$A$93,MATCH(56,'Daily Log'!$D$2:$D$93,0)),"d mmm")</f>
        <v>29 Nov – 5 Dec</v>
      </c>
      <c r="C51" s="14" t="s">
        <v>363</v>
      </c>
      <c r="D51" s="17" t="s">
        <v>413</v>
      </c>
      <c r="E51" s="14" t="s">
        <v>365</v>
      </c>
      <c r="F51" s="15"/>
      <c r="G51" s="19"/>
    </row>
    <row r="52" spans="1:7" x14ac:dyDescent="0.3">
      <c r="A52" s="14">
        <v>8</v>
      </c>
      <c r="B52" s="14" t="str">
        <f>TEXT(INDEX('Daily Log'!$A$2:$A$93,MATCH(50,'Daily Log'!$D$2:$D$93,0)),"d mmm")&amp;" – "&amp;TEXT(INDEX('Daily Log'!$A$2:$A$93,MATCH(56,'Daily Log'!$D$2:$D$93,0)),"d mmm")</f>
        <v>29 Nov – 5 Dec</v>
      </c>
      <c r="C52" s="14" t="s">
        <v>363</v>
      </c>
      <c r="D52" s="17" t="s">
        <v>414</v>
      </c>
      <c r="E52" s="14" t="s">
        <v>365</v>
      </c>
      <c r="F52" s="15"/>
      <c r="G52" s="19"/>
    </row>
    <row r="53" spans="1:7" x14ac:dyDescent="0.3">
      <c r="A53" s="14">
        <v>8</v>
      </c>
      <c r="B53" s="14" t="str">
        <f>TEXT(INDEX('Daily Log'!$A$2:$A$93,MATCH(50,'Daily Log'!$D$2:$D$93,0)),"d mmm")&amp;" – "&amp;TEXT(INDEX('Daily Log'!$A$2:$A$93,MATCH(56,'Daily Log'!$D$2:$D$93,0)),"d mmm")</f>
        <v>29 Nov – 5 Dec</v>
      </c>
      <c r="C53" s="14" t="s">
        <v>368</v>
      </c>
      <c r="D53" s="17" t="s">
        <v>415</v>
      </c>
      <c r="E53" s="14" t="s">
        <v>391</v>
      </c>
      <c r="F53" s="15"/>
      <c r="G53" s="19"/>
    </row>
    <row r="54" spans="1:7" x14ac:dyDescent="0.3">
      <c r="A54" s="14">
        <v>8</v>
      </c>
      <c r="B54" s="14" t="str">
        <f>TEXT(INDEX('Daily Log'!$A$2:$A$93,MATCH(50,'Daily Log'!$D$2:$D$93,0)),"d mmm")&amp;" – "&amp;TEXT(INDEX('Daily Log'!$A$2:$A$93,MATCH(56,'Daily Log'!$D$2:$D$93,0)),"d mmm")</f>
        <v>29 Nov – 5 Dec</v>
      </c>
      <c r="C54" s="14" t="s">
        <v>372</v>
      </c>
      <c r="D54" s="17" t="s">
        <v>416</v>
      </c>
      <c r="E54" s="14" t="s">
        <v>391</v>
      </c>
      <c r="F54" s="15"/>
      <c r="G54" s="19"/>
    </row>
  </sheetData>
  <conditionalFormatting sqref="D2:D54">
    <cfRule type="expression" dxfId="2" priority="3">
      <formula>$F2="Yes"</formula>
    </cfRule>
  </conditionalFormatting>
  <conditionalFormatting sqref="F2:F54">
    <cfRule type="cellIs" dxfId="1" priority="2" operator="equal">
      <formula>"Yes"</formula>
    </cfRule>
  </conditionalFormatting>
  <dataValidations count="1">
    <dataValidation type="list" allowBlank="1" sqref="F2:F54" xr:uid="{00000000-0002-0000-0300-000000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4"/>
  <sheetViews>
    <sheetView zoomScaleNormal="100" workbookViewId="0"/>
  </sheetViews>
  <sheetFormatPr defaultColWidth="8.6640625" defaultRowHeight="14.4" x14ac:dyDescent="0.3"/>
  <cols>
    <col min="1" max="1" width="16" customWidth="1"/>
    <col min="2" max="2" width="56" customWidth="1"/>
    <col min="3" max="3" width="8" customWidth="1"/>
  </cols>
  <sheetData>
    <row r="1" spans="1:3" ht="30" customHeight="1" x14ac:dyDescent="0.3">
      <c r="A1" s="4" t="s">
        <v>417</v>
      </c>
      <c r="B1" s="4" t="s">
        <v>418</v>
      </c>
      <c r="C1" s="4" t="s">
        <v>3</v>
      </c>
    </row>
    <row r="2" spans="1:3" x14ac:dyDescent="0.3">
      <c r="A2" s="16" t="s">
        <v>419</v>
      </c>
      <c r="B2" s="21" t="s">
        <v>420</v>
      </c>
      <c r="C2" s="15"/>
    </row>
    <row r="3" spans="1:3" x14ac:dyDescent="0.3">
      <c r="A3" s="16" t="str">
        <f>"By "&amp;TEXT(INDEX('Daily Log'!$A$2:$A$93,MATCH(28,'Daily Log'!$D$2:$D$93,0)),"d mmm")</f>
        <v>By 7 Nov</v>
      </c>
      <c r="B3" s="21" t="s">
        <v>421</v>
      </c>
      <c r="C3" s="15"/>
    </row>
    <row r="4" spans="1:3" x14ac:dyDescent="0.3">
      <c r="A4" s="16" t="str">
        <f>"Around "&amp;TEXT(INDEX('Daily Log'!$A$2:$A$93,MATCH(38,'Daily Log'!$D$2:$D$93,0)),"d mmm")</f>
        <v>Around 17 Nov</v>
      </c>
      <c r="B4" s="21" t="s">
        <v>422</v>
      </c>
      <c r="C4" s="15"/>
    </row>
    <row r="5" spans="1:3" x14ac:dyDescent="0.3">
      <c r="A5" s="16" t="str">
        <f>"Around "&amp;TEXT(INDEX('Daily Log'!$A$2:$A$93,MATCH(48,'Daily Log'!$D$2:$D$93,0)),"d mmm")</f>
        <v>Around 27 Nov</v>
      </c>
      <c r="B5" s="21" t="s">
        <v>423</v>
      </c>
      <c r="C5" s="15"/>
    </row>
    <row r="6" spans="1:3" x14ac:dyDescent="0.3">
      <c r="A6" s="16" t="str">
        <f>"From "&amp;TEXT(INDEX('Daily Log'!$A$2:$A$93,MATCH(52,'Daily Log'!$D$2:$D$93,0)),"d mmm")</f>
        <v>From 1 Dec</v>
      </c>
      <c r="B6" s="21" t="s">
        <v>424</v>
      </c>
      <c r="C6" s="15"/>
    </row>
    <row r="7" spans="1:3" x14ac:dyDescent="0.3">
      <c r="A7" s="16" t="s">
        <v>425</v>
      </c>
      <c r="B7" s="21" t="s">
        <v>426</v>
      </c>
      <c r="C7" s="15"/>
    </row>
    <row r="8" spans="1:3" x14ac:dyDescent="0.3">
      <c r="A8" s="16" t="str">
        <f>TEXT(INDEX('Daily Log'!$A$2:$A$93,MATCH(21,'Daily Log'!$D$2:$D$93,0)),"d mmm")</f>
        <v>31 Oct</v>
      </c>
      <c r="B8" s="21" t="s">
        <v>427</v>
      </c>
      <c r="C8" s="15"/>
    </row>
    <row r="9" spans="1:3" x14ac:dyDescent="0.3">
      <c r="A9" s="16" t="str">
        <f>TEXT(INDEX('Daily Log'!$A$2:$A$93,MATCH(35,'Daily Log'!$D$2:$D$93,0)),"d mmm")</f>
        <v>14 Nov</v>
      </c>
      <c r="B9" s="21" t="s">
        <v>428</v>
      </c>
      <c r="C9" s="15"/>
    </row>
    <row r="10" spans="1:3" x14ac:dyDescent="0.3">
      <c r="A10" s="16" t="str">
        <f>TEXT(INDEX('Daily Log'!$A$2:$A$93,MATCH(49,'Daily Log'!$D$2:$D$93,0)),"d mmm")</f>
        <v>28 Nov</v>
      </c>
      <c r="B10" s="21" t="s">
        <v>429</v>
      </c>
      <c r="C10" s="15"/>
    </row>
    <row r="12" spans="1:3" ht="30" customHeight="1" x14ac:dyDescent="0.3">
      <c r="A12" s="4" t="s">
        <v>430</v>
      </c>
      <c r="B12" s="4" t="s">
        <v>431</v>
      </c>
      <c r="C12" s="4" t="s">
        <v>432</v>
      </c>
    </row>
    <row r="13" spans="1:3" x14ac:dyDescent="0.3">
      <c r="A13" s="21" t="s">
        <v>433</v>
      </c>
      <c r="B13" s="19"/>
      <c r="C13" s="15"/>
    </row>
    <row r="14" spans="1:3" ht="26.4" x14ac:dyDescent="0.3">
      <c r="A14" s="21" t="s">
        <v>434</v>
      </c>
      <c r="B14" s="19"/>
      <c r="C14" s="15"/>
    </row>
    <row r="15" spans="1:3" ht="26.4" x14ac:dyDescent="0.3">
      <c r="A15" s="21" t="s">
        <v>435</v>
      </c>
      <c r="B15" s="19"/>
      <c r="C15" s="15"/>
    </row>
    <row r="16" spans="1:3" ht="26.4" x14ac:dyDescent="0.3">
      <c r="A16" s="21" t="s">
        <v>436</v>
      </c>
      <c r="B16" s="19"/>
      <c r="C16" s="15"/>
    </row>
    <row r="17" spans="1:3" ht="26.4" x14ac:dyDescent="0.3">
      <c r="A17" s="21" t="s">
        <v>437</v>
      </c>
      <c r="B17" s="19"/>
      <c r="C17" s="15"/>
    </row>
    <row r="18" spans="1:3" ht="26.4" x14ac:dyDescent="0.3">
      <c r="A18" s="21" t="s">
        <v>438</v>
      </c>
      <c r="B18" s="19"/>
      <c r="C18" s="15"/>
    </row>
    <row r="19" spans="1:3" ht="26.4" x14ac:dyDescent="0.3">
      <c r="A19" s="21" t="s">
        <v>439</v>
      </c>
      <c r="B19" s="19"/>
      <c r="C19" s="15"/>
    </row>
    <row r="20" spans="1:3" ht="26.4" x14ac:dyDescent="0.3">
      <c r="A20" s="21" t="s">
        <v>440</v>
      </c>
      <c r="B20" s="19"/>
      <c r="C20" s="15"/>
    </row>
    <row r="21" spans="1:3" ht="26.4" x14ac:dyDescent="0.3">
      <c r="A21" s="21" t="s">
        <v>441</v>
      </c>
      <c r="B21" s="19"/>
      <c r="C21" s="15"/>
    </row>
    <row r="22" spans="1:3" ht="39.6" x14ac:dyDescent="0.3">
      <c r="A22" s="21" t="s">
        <v>442</v>
      </c>
      <c r="B22" s="19"/>
      <c r="C22" s="15"/>
    </row>
    <row r="23" spans="1:3" x14ac:dyDescent="0.3">
      <c r="A23" s="21" t="s">
        <v>443</v>
      </c>
      <c r="B23" s="19"/>
      <c r="C23" s="15"/>
    </row>
    <row r="24" spans="1:3" ht="26.4" x14ac:dyDescent="0.3">
      <c r="A24" s="21" t="s">
        <v>444</v>
      </c>
      <c r="B24" s="19"/>
      <c r="C24" s="15"/>
    </row>
  </sheetData>
  <conditionalFormatting sqref="C2:C24">
    <cfRule type="cellIs" dxfId="0" priority="2" operator="equal">
      <formula>"Yes"</formula>
    </cfRule>
  </conditionalFormatting>
  <dataValidations count="1">
    <dataValidation type="list" allowBlank="1" sqref="C2:C10 C13:C24" xr:uid="{00000000-0002-0000-0400-000000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Daily Log</vt:lpstr>
      <vt:lpstr>DSA Problems</vt:lpstr>
      <vt:lpstr>Weekly Plan</vt:lpstr>
      <vt:lpstr>Milestones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Shubham Soni1</cp:lastModifiedBy>
  <cp:revision>0</cp:revision>
  <dcterms:created xsi:type="dcterms:W3CDTF">2026-10-11T04:28:53Z</dcterms:created>
  <dcterms:modified xsi:type="dcterms:W3CDTF">2026-10-12T04:53:59Z</dcterms:modified>
  <dc:language>en-US</dc:language>
</cp:coreProperties>
</file>